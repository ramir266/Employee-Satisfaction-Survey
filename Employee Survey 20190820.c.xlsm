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PRTH\EXWC\BD\BD51\1. Analytics\2. Metrics\Employee Survey\"/>
    </mc:Choice>
  </mc:AlternateContent>
  <bookViews>
    <workbookView xWindow="0" yWindow="11130" windowWidth="22305" windowHeight="9330" tabRatio="601" firstSheet="1" activeTab="1"/>
  </bookViews>
  <sheets>
    <sheet name="Introduction" sheetId="7" state="hidden" r:id="rId1"/>
    <sheet name="Employee Survey" sheetId="1" r:id="rId2"/>
    <sheet name="Data" sheetId="4" state="hidden" r:id="rId3"/>
    <sheet name="Data validation values 1" sheetId="5" state="hidden" r:id="rId4"/>
    <sheet name="Data validation values 2" sheetId="2" state="hidden" r:id="rId5"/>
  </sheets>
  <definedNames>
    <definedName name="Factors" localSheetId="0">Introduction!$B$33:$F$39</definedName>
    <definedName name="Factors">'Employee Survey'!$B$37:$F$43</definedName>
    <definedName name="MyList" localSheetId="0">OFFSET('Data validation values 1'!#REF!,0,0,COUNTIF('Data validation values 1'!$G:$G,"?*"),1)</definedName>
    <definedName name="MyList">OFFSET('Data validation values 1'!#REF!,0,0,COUNTIF('Data validation values 1'!$G:$G,"?*"),1)</definedName>
    <definedName name="_xlnm.Print_Area" localSheetId="1">'Employee Survey'!$A$1:$J$120</definedName>
    <definedName name="_xlnm.Print_Area" localSheetId="0">Introduction!$A$1:$J$62</definedName>
    <definedName name="Select" localSheetId="0">Introduction!$D$24:$F$24</definedName>
    <definedName name="Select">'Employee Survey'!$D$28:$F$28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2" i="4" l="1"/>
  <c r="BB2" i="4" l="1"/>
  <c r="BA2" i="4"/>
  <c r="AV2" i="4"/>
  <c r="AU2" i="4"/>
  <c r="AQ2" i="4" l="1"/>
  <c r="AR2" i="4"/>
  <c r="AC2" i="4"/>
  <c r="AA2" i="4"/>
  <c r="N2" i="4"/>
  <c r="A2" i="4"/>
  <c r="X2" i="4"/>
  <c r="AG2" i="4" l="1"/>
  <c r="U2" i="4"/>
  <c r="A1" i="7" l="1"/>
  <c r="AP2" i="4"/>
  <c r="AO2" i="4"/>
  <c r="AN2" i="4"/>
  <c r="AM2" i="4"/>
  <c r="AL2" i="4"/>
  <c r="AK2" i="4"/>
  <c r="AJ2" i="4"/>
  <c r="AI2" i="4"/>
  <c r="AH2" i="4"/>
  <c r="AF2" i="4"/>
  <c r="AE2" i="4"/>
  <c r="Z2" i="4"/>
  <c r="Y2" i="4"/>
  <c r="T2" i="4"/>
  <c r="Q2" i="4"/>
  <c r="D2" i="4"/>
  <c r="B2" i="4" l="1"/>
  <c r="C2" i="4" s="1"/>
  <c r="E2" i="4" s="1"/>
  <c r="F2" i="4" s="1"/>
  <c r="O2" i="4"/>
  <c r="P2" i="4" s="1"/>
  <c r="R2" i="4" s="1"/>
  <c r="S2" i="4" s="1"/>
  <c r="A1" i="1" l="1"/>
  <c r="W2" i="4" l="1"/>
  <c r="V2" i="4"/>
  <c r="H2" i="4"/>
  <c r="G2" i="4"/>
  <c r="K2" i="4" l="1"/>
  <c r="AB2" i="4" s="1"/>
  <c r="I2" i="4"/>
  <c r="J2" i="4" s="1"/>
  <c r="L2" i="4" s="1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AZ2" i="4"/>
  <c r="AY2" i="4"/>
  <c r="AX2" i="4"/>
  <c r="AW2" i="4"/>
  <c r="M2" i="4" l="1"/>
  <c r="AT2" i="4"/>
  <c r="AS2" i="4"/>
  <c r="AD2" i="4"/>
  <c r="BQ2" i="4" l="1"/>
</calcChain>
</file>

<file path=xl/sharedStrings.xml><?xml version="1.0" encoding="utf-8"?>
<sst xmlns="http://schemas.openxmlformats.org/spreadsheetml/2006/main" count="580" uniqueCount="508">
  <si>
    <t>4 (JUL - SEP)</t>
  </si>
  <si>
    <t>3 (APR - JUN)</t>
  </si>
  <si>
    <t>2 (JAN - MAR)</t>
  </si>
  <si>
    <t>1 (OCT - DEC)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</si>
  <si>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</si>
  <si>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</si>
  <si>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</si>
  <si>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</si>
  <si>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</si>
  <si>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</si>
  <si>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</si>
  <si>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</si>
  <si>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</si>
  <si>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</si>
  <si>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</si>
  <si>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</si>
  <si>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</si>
  <si>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</si>
  <si>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</si>
  <si>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Acquisition</t>
  </si>
  <si>
    <t>Capital Improvements</t>
  </si>
  <si>
    <t>Command Information Office</t>
  </si>
  <si>
    <t>Environmental</t>
  </si>
  <si>
    <t>Financial Management</t>
  </si>
  <si>
    <t>Ocean Facilities</t>
  </si>
  <si>
    <t>Operations</t>
  </si>
  <si>
    <t>Public Works</t>
  </si>
  <si>
    <t>Other</t>
  </si>
  <si>
    <t>0 - 2  years</t>
  </si>
  <si>
    <t>2 - 4 years</t>
  </si>
  <si>
    <t>4 - 6 years</t>
  </si>
  <si>
    <t>6 - 8 years</t>
  </si>
  <si>
    <t>8 - 10 years</t>
  </si>
  <si>
    <t>10 - 12 years</t>
  </si>
  <si>
    <t>12 - 14 years</t>
  </si>
  <si>
    <t>14 - 16 years</t>
  </si>
  <si>
    <t>16 - 18 years</t>
  </si>
  <si>
    <t>18 - 20 years</t>
  </si>
  <si>
    <t>20 - 22 years</t>
  </si>
  <si>
    <t>22 - 24 years</t>
  </si>
  <si>
    <t>24 - 26 years</t>
  </si>
  <si>
    <t xml:space="preserve">26 - 28 years </t>
  </si>
  <si>
    <t>28 - 30 years</t>
  </si>
  <si>
    <t>40+ years</t>
  </si>
  <si>
    <t>1.</t>
  </si>
  <si>
    <t>2.</t>
  </si>
  <si>
    <t>3.</t>
  </si>
  <si>
    <t>Retiring</t>
  </si>
  <si>
    <t>Pay / Compensation</t>
  </si>
  <si>
    <t>Empowerment / Challenge / Responsibility</t>
  </si>
  <si>
    <t>Recognition</t>
  </si>
  <si>
    <t>Workload</t>
  </si>
  <si>
    <t>Yes</t>
  </si>
  <si>
    <t>No</t>
  </si>
  <si>
    <t>Interesting / Challenging work</t>
  </si>
  <si>
    <t>People you will work with / Coworkers</t>
  </si>
  <si>
    <t>Wanted a change</t>
  </si>
  <si>
    <t>Work hours</t>
  </si>
  <si>
    <t>Telework</t>
  </si>
  <si>
    <t>Other incentives</t>
  </si>
  <si>
    <t>More opportunity for advancement</t>
  </si>
  <si>
    <t>Different type of work</t>
  </si>
  <si>
    <t>More work schedule flexibility</t>
  </si>
  <si>
    <t>Nothing, job is similar to current position</t>
  </si>
  <si>
    <t xml:space="preserve">Better physical working environment </t>
  </si>
  <si>
    <t>More balanced workload</t>
  </si>
  <si>
    <t xml:space="preserve">Increased recognition for your contribution </t>
  </si>
  <si>
    <t>Flexible work schedule / Flexible work location</t>
  </si>
  <si>
    <t>Student loan repayment</t>
  </si>
  <si>
    <t>Nothing, leaving for personal reasons</t>
  </si>
  <si>
    <t>Nothing, I am retiring</t>
  </si>
  <si>
    <t>People / Coworkers</t>
  </si>
  <si>
    <t>Training opportunities</t>
  </si>
  <si>
    <t xml:space="preserve">Feeling of accomplishment </t>
  </si>
  <si>
    <t xml:space="preserve">Salary </t>
  </si>
  <si>
    <t xml:space="preserve">Opportunities to travel </t>
  </si>
  <si>
    <t>Never</t>
  </si>
  <si>
    <t>Almost Never</t>
  </si>
  <si>
    <t>Sometimes</t>
  </si>
  <si>
    <t>Almost Always</t>
  </si>
  <si>
    <t>Always</t>
  </si>
  <si>
    <t>Workload distribution</t>
  </si>
  <si>
    <t>Organizational structure</t>
  </si>
  <si>
    <t>Resource allocation</t>
  </si>
  <si>
    <t>Policies and procedures</t>
  </si>
  <si>
    <t>Leadership style</t>
  </si>
  <si>
    <t>Physical working environment</t>
  </si>
  <si>
    <t>Improve communication</t>
  </si>
  <si>
    <t>Nothing</t>
  </si>
  <si>
    <t>Communication</t>
  </si>
  <si>
    <t>Influence on policies / procedure  / work</t>
  </si>
  <si>
    <t xml:space="preserve">Better work location </t>
  </si>
  <si>
    <t>Expeditionary</t>
  </si>
  <si>
    <t>Increased empowerment to get the job done</t>
  </si>
  <si>
    <t>Better tools and equipment</t>
  </si>
  <si>
    <t>Challenging work</t>
  </si>
  <si>
    <t>0150-Geographer</t>
  </si>
  <si>
    <t>0401-Natural Resources Management and Biological Sciences</t>
  </si>
  <si>
    <t>0801-General Engineering</t>
  </si>
  <si>
    <t>0803-Safety Engineering</t>
  </si>
  <si>
    <t>0804-Fire Protection Engineering</t>
  </si>
  <si>
    <t>0806-Materials Engineering</t>
  </si>
  <si>
    <t>0808-Architecture</t>
  </si>
  <si>
    <t>0810-Civil Engineering</t>
  </si>
  <si>
    <t>0819-Environmental Engineering</t>
  </si>
  <si>
    <t>0830-Mechanical Engineering</t>
  </si>
  <si>
    <t>0850-Electrical Engineering</t>
  </si>
  <si>
    <t>0854-Computer Engineering</t>
  </si>
  <si>
    <t xml:space="preserve">0855-Electronics Engineering </t>
  </si>
  <si>
    <t>0893-Chemical Engineering</t>
  </si>
  <si>
    <t xml:space="preserve">0896-Industrial Engineering </t>
  </si>
  <si>
    <t>0899-Student Trainee (Engineer)</t>
  </si>
  <si>
    <t>1301-Physical Science</t>
  </si>
  <si>
    <t>1313-Geophysics</t>
  </si>
  <si>
    <t>1315-Hydrology</t>
  </si>
  <si>
    <t>1320-Chemistry</t>
  </si>
  <si>
    <t>1321-Metallurgy</t>
  </si>
  <si>
    <t>1350-Geology</t>
  </si>
  <si>
    <t>1515-Operations Research</t>
  </si>
  <si>
    <t>1550-Computer Scientist</t>
  </si>
  <si>
    <t>0086-Security Clerical and Assistance</t>
  </si>
  <si>
    <t xml:space="preserve">0203-Human Resources Assistance </t>
  </si>
  <si>
    <t>0303-Misc Clerk and Assistant</t>
  </si>
  <si>
    <t>0318-Secretary</t>
  </si>
  <si>
    <t>0335-Computer Clerk and Assistant</t>
  </si>
  <si>
    <t>0344-Management &amp; Program Clerical and Assistance</t>
  </si>
  <si>
    <t>0399-(Student Trainee) Administration and Office Support</t>
  </si>
  <si>
    <t xml:space="preserve">0503-Financial Technician </t>
  </si>
  <si>
    <t>0986-Legal Assistance</t>
  </si>
  <si>
    <t xml:space="preserve">1106-Procurement Clerical and Technician </t>
  </si>
  <si>
    <t>2005-Supply Clerical and Technician</t>
  </si>
  <si>
    <t xml:space="preserve">0802-Engineering Technician </t>
  </si>
  <si>
    <t xml:space="preserve">0856-Electronics Technician </t>
  </si>
  <si>
    <t xml:space="preserve">1152-Production Control </t>
  </si>
  <si>
    <t>2121-Railroad Safety</t>
  </si>
  <si>
    <t>0018-Safety and Occupational Health Management</t>
  </si>
  <si>
    <t xml:space="preserve">0020-Community Planning </t>
  </si>
  <si>
    <t>0028-Environmental Protection Specialist</t>
  </si>
  <si>
    <t xml:space="preserve">0080-Security Administration </t>
  </si>
  <si>
    <t>0201-Human Resources Management</t>
  </si>
  <si>
    <t>0260-Equal Employment Opportunity</t>
  </si>
  <si>
    <t>0301-Misc Administration and Program</t>
  </si>
  <si>
    <t>0340-Program Management</t>
  </si>
  <si>
    <t>0343-Management and Program Analyst</t>
  </si>
  <si>
    <t>0346-Logistics Management</t>
  </si>
  <si>
    <t xml:space="preserve">0501-Financial Administration and Program </t>
  </si>
  <si>
    <t xml:space="preserve">0505-Financial Management </t>
  </si>
  <si>
    <t xml:space="preserve">0510-Accounting </t>
  </si>
  <si>
    <t>0905-General Attorney</t>
  </si>
  <si>
    <t>0950-Paralegal Specialist</t>
  </si>
  <si>
    <t>1035-Public Affairs</t>
  </si>
  <si>
    <t>1083-Technical Writing and Editing</t>
  </si>
  <si>
    <t>1101-General Business and Industry</t>
  </si>
  <si>
    <t>1102-Contracting</t>
  </si>
  <si>
    <t>1176-Building Management</t>
  </si>
  <si>
    <t>1670-Equipment Services</t>
  </si>
  <si>
    <t xml:space="preserve">1801-Inspector General </t>
  </si>
  <si>
    <t xml:space="preserve">2010-Inventory Management </t>
  </si>
  <si>
    <t xml:space="preserve">2030-Distribution Facilities and Storage Management </t>
  </si>
  <si>
    <t>2210-Information Technology Management</t>
  </si>
  <si>
    <t>American Indian or Alaska Native</t>
  </si>
  <si>
    <t>Asian</t>
  </si>
  <si>
    <t>Black or African American</t>
  </si>
  <si>
    <t xml:space="preserve">White </t>
  </si>
  <si>
    <t>Native Hawaiian or Other Pacific Islander</t>
  </si>
  <si>
    <t>Male</t>
  </si>
  <si>
    <t xml:space="preserve">Female </t>
  </si>
  <si>
    <t>BD11</t>
  </si>
  <si>
    <t>BD12</t>
  </si>
  <si>
    <t>BD17</t>
  </si>
  <si>
    <t>BD13</t>
  </si>
  <si>
    <t>BD51</t>
  </si>
  <si>
    <t>BD52</t>
  </si>
  <si>
    <t>BD131</t>
  </si>
  <si>
    <t>BD133</t>
  </si>
  <si>
    <t>BD521</t>
  </si>
  <si>
    <t>BD522</t>
  </si>
  <si>
    <t>PW1</t>
  </si>
  <si>
    <t>PW5</t>
  </si>
  <si>
    <t>PW6</t>
  </si>
  <si>
    <t>PW7</t>
  </si>
  <si>
    <t>PW8</t>
  </si>
  <si>
    <t>PW63</t>
  </si>
  <si>
    <t>PW68</t>
  </si>
  <si>
    <t>EV1</t>
  </si>
  <si>
    <t>EV3</t>
  </si>
  <si>
    <t>EV4</t>
  </si>
  <si>
    <t>EV11</t>
  </si>
  <si>
    <t>EV12</t>
  </si>
  <si>
    <t>EV13</t>
  </si>
  <si>
    <t>EV31</t>
  </si>
  <si>
    <t>EV32</t>
  </si>
  <si>
    <t>CI7</t>
  </si>
  <si>
    <t>CI8</t>
  </si>
  <si>
    <t>CI9</t>
  </si>
  <si>
    <t>CI10</t>
  </si>
  <si>
    <t>CI11</t>
  </si>
  <si>
    <t>CI111</t>
  </si>
  <si>
    <t>CI112</t>
  </si>
  <si>
    <t>CIOFP1</t>
  </si>
  <si>
    <t>CIOFP2</t>
  </si>
  <si>
    <t>CIOFP3</t>
  </si>
  <si>
    <t>CIOFP4</t>
  </si>
  <si>
    <t>CIOFP5</t>
  </si>
  <si>
    <t>CIOFP6</t>
  </si>
  <si>
    <t>CIOFP7</t>
  </si>
  <si>
    <t>EXA</t>
  </si>
  <si>
    <t>EX3</t>
  </si>
  <si>
    <t>EX4</t>
  </si>
  <si>
    <t>EX5</t>
  </si>
  <si>
    <t>EX41</t>
  </si>
  <si>
    <t>EX42</t>
  </si>
  <si>
    <t>EX43</t>
  </si>
  <si>
    <t>EX51</t>
  </si>
  <si>
    <t>EX52</t>
  </si>
  <si>
    <t>EX53</t>
  </si>
  <si>
    <t>EX411</t>
  </si>
  <si>
    <t>EX412</t>
  </si>
  <si>
    <t>EX421</t>
  </si>
  <si>
    <t>EX422</t>
  </si>
  <si>
    <t>EX423</t>
  </si>
  <si>
    <t>EX431</t>
  </si>
  <si>
    <t>EX432</t>
  </si>
  <si>
    <t>EX433</t>
  </si>
  <si>
    <t>EX521</t>
  </si>
  <si>
    <t>EX523</t>
  </si>
  <si>
    <t>EX522</t>
  </si>
  <si>
    <t>EX531</t>
  </si>
  <si>
    <t>EX532</t>
  </si>
  <si>
    <t>OP4</t>
  </si>
  <si>
    <t>OP5</t>
  </si>
  <si>
    <t>OP41</t>
  </si>
  <si>
    <t>OP42</t>
  </si>
  <si>
    <t>OP43</t>
  </si>
  <si>
    <t>OP44</t>
  </si>
  <si>
    <t>OP45</t>
  </si>
  <si>
    <t>OP51</t>
  </si>
  <si>
    <t>OP52</t>
  </si>
  <si>
    <t>OP53</t>
  </si>
  <si>
    <t>OP54</t>
  </si>
  <si>
    <t>OP55</t>
  </si>
  <si>
    <t>FM1</t>
  </si>
  <si>
    <t>FM17</t>
  </si>
  <si>
    <t>FM19</t>
  </si>
  <si>
    <t>FM2</t>
  </si>
  <si>
    <t>FM3</t>
  </si>
  <si>
    <t>FM5</t>
  </si>
  <si>
    <t>ACQ1</t>
  </si>
  <si>
    <t>ACQ7</t>
  </si>
  <si>
    <t>ACQ71</t>
  </si>
  <si>
    <t>ACQ72</t>
  </si>
  <si>
    <t>ACQ73</t>
  </si>
  <si>
    <t>CED1</t>
  </si>
  <si>
    <t>CED2</t>
  </si>
  <si>
    <t>Level I</t>
  </si>
  <si>
    <t>Level II</t>
  </si>
  <si>
    <t>Level III</t>
  </si>
  <si>
    <t>Private Industry</t>
  </si>
  <si>
    <t>SPAWAR</t>
  </si>
  <si>
    <t>Military</t>
  </si>
  <si>
    <t>NAVFAC Far East</t>
  </si>
  <si>
    <t>NAVFAC Marianas</t>
  </si>
  <si>
    <t>NAVFAC Hawaii</t>
  </si>
  <si>
    <t>NAVFAC Pacific</t>
  </si>
  <si>
    <t>NAVFAC EURAFSWA</t>
  </si>
  <si>
    <t>NAVFAC Washington</t>
  </si>
  <si>
    <t>NAVFAC Mid-Atlantic</t>
  </si>
  <si>
    <t>Technical Directorate</t>
  </si>
  <si>
    <t>BD</t>
  </si>
  <si>
    <t>PW</t>
  </si>
  <si>
    <t>EV</t>
  </si>
  <si>
    <t>CI</t>
  </si>
  <si>
    <t>CIOFP</t>
  </si>
  <si>
    <t>EX</t>
  </si>
  <si>
    <t>OP</t>
  </si>
  <si>
    <t>FM</t>
  </si>
  <si>
    <t>ACQ</t>
  </si>
  <si>
    <t>CED</t>
  </si>
  <si>
    <t>NAVFAC Headquarters</t>
  </si>
  <si>
    <t>NAVFAC Northwest</t>
  </si>
  <si>
    <t>NAVFAC Southwest</t>
  </si>
  <si>
    <t>NAVFAC Southeast</t>
  </si>
  <si>
    <t>PDC - Professional Development Center</t>
  </si>
  <si>
    <t>FMCP - Financial Management Career Program</t>
  </si>
  <si>
    <t xml:space="preserve">NCIP - Navy Career Intern Program </t>
  </si>
  <si>
    <t>SCEP - Student Career Experience Program</t>
  </si>
  <si>
    <t>STEP - Student Temporary Employment Program</t>
  </si>
  <si>
    <t>OCT</t>
  </si>
  <si>
    <t xml:space="preserve">Q1 </t>
  </si>
  <si>
    <t>NOV</t>
  </si>
  <si>
    <t>DEC</t>
  </si>
  <si>
    <t>JAN</t>
  </si>
  <si>
    <t>Q2</t>
  </si>
  <si>
    <t>FEB</t>
  </si>
  <si>
    <t>MAR</t>
  </si>
  <si>
    <t>APR</t>
  </si>
  <si>
    <t>Q3</t>
  </si>
  <si>
    <t xml:space="preserve">MAY </t>
  </si>
  <si>
    <t>JUN</t>
  </si>
  <si>
    <t>JUL</t>
  </si>
  <si>
    <t>Q4</t>
  </si>
  <si>
    <t xml:space="preserve">AUG </t>
  </si>
  <si>
    <t>SEP</t>
  </si>
  <si>
    <t>CIO</t>
  </si>
  <si>
    <t>General Schedule (GS)</t>
  </si>
  <si>
    <t>Wage Grade (WG)</t>
  </si>
  <si>
    <t>Wage Leader (WL)</t>
  </si>
  <si>
    <t>Wage Supervisor (WS)</t>
  </si>
  <si>
    <t>Career Path (CP)</t>
  </si>
  <si>
    <t>Science &amp; Engineering (ND)</t>
  </si>
  <si>
    <t xml:space="preserve">S&amp;E Technician (NR) </t>
  </si>
  <si>
    <t>Administrative/Professional (NT)</t>
  </si>
  <si>
    <t>General Support (NG)</t>
  </si>
  <si>
    <t xml:space="preserve">EX </t>
  </si>
  <si>
    <t>OPS</t>
  </si>
  <si>
    <t>TD</t>
  </si>
  <si>
    <t>Month, Year, Quarter Calculations</t>
  </si>
  <si>
    <t>Text Length</t>
  </si>
  <si>
    <t>NADP - Naval Acquisition Development Program</t>
  </si>
  <si>
    <t>OCHR - Office of Civilian Human Resources</t>
  </si>
  <si>
    <t>Auditing (AUD)</t>
  </si>
  <si>
    <t>Business - Cost Estimating (BUS-CE)</t>
  </si>
  <si>
    <t>Business - Financial Management (BUS-FM)</t>
  </si>
  <si>
    <t>Contracting (CON)</t>
  </si>
  <si>
    <t>Facilities Engineering (FE)</t>
  </si>
  <si>
    <t>Industrial and/or Contract Property Management (IND)</t>
  </si>
  <si>
    <t>Information Technology (IT)</t>
  </si>
  <si>
    <t>Life Cycle Logistics (LCL)</t>
  </si>
  <si>
    <t>Program Management (PM)</t>
  </si>
  <si>
    <t xml:space="preserve">Purchasing (PUR) </t>
  </si>
  <si>
    <t xml:space="preserve">Science &amp; Technology Manager (S&amp;TM) </t>
  </si>
  <si>
    <t xml:space="preserve">Engineering (ENG) </t>
  </si>
  <si>
    <t>Test &amp; Evaluation (T&amp;E)</t>
  </si>
  <si>
    <t xml:space="preserve">Production, Quality &amp; Manufacturing (PQM) </t>
  </si>
  <si>
    <t>Shorter commute</t>
  </si>
  <si>
    <t>Career path / Promotion opportunities</t>
  </si>
  <si>
    <t>Nature of work or job-skill match</t>
  </si>
  <si>
    <t>Quality of life / Workplace flexibilities</t>
  </si>
  <si>
    <t xml:space="preserve">Non-work related </t>
  </si>
  <si>
    <t xml:space="preserve">Promotion pay increase </t>
  </si>
  <si>
    <t>Training / Educational opportunity</t>
  </si>
  <si>
    <t>Personal reasons</t>
  </si>
  <si>
    <t>More responsibility / Accountability</t>
  </si>
  <si>
    <t>Team leadership / Supervisory role</t>
  </si>
  <si>
    <t>More opportunity to influence decisions / outcomes</t>
  </si>
  <si>
    <t xml:space="preserve">Promotion / Pay increase </t>
  </si>
  <si>
    <t>Increased training / Education</t>
  </si>
  <si>
    <t>Pay system</t>
  </si>
  <si>
    <t>Workload recognition</t>
  </si>
  <si>
    <t>Work environment</t>
  </si>
  <si>
    <t xml:space="preserve">Promotion opportunities </t>
  </si>
  <si>
    <t>30 - 40 years</t>
  </si>
  <si>
    <t>NAVAIR Point Mugu</t>
  </si>
  <si>
    <t>NAVAIR Other</t>
  </si>
  <si>
    <t>NAVSEA PHD</t>
  </si>
  <si>
    <t>NAVSEA Other</t>
  </si>
  <si>
    <t>Other DOD Agency</t>
  </si>
  <si>
    <t>Other Government Agency</t>
  </si>
  <si>
    <t>7. To which Business Line / Support Line (BL/SL) are you assigned?</t>
  </si>
  <si>
    <t>Leadership / Management</t>
  </si>
  <si>
    <t>Work environment / Culture</t>
  </si>
  <si>
    <t>Training / Development &amp; opportunities for growth</t>
  </si>
  <si>
    <t>New management</t>
  </si>
  <si>
    <t>Management support</t>
  </si>
  <si>
    <t>Self-Employment</t>
  </si>
  <si>
    <t>Leadership</t>
  </si>
  <si>
    <t>Increased accountability</t>
  </si>
  <si>
    <t>Consistency</t>
  </si>
  <si>
    <t>Human Resource Personnel Only</t>
  </si>
  <si>
    <t xml:space="preserve">
Assessment Survey</t>
  </si>
  <si>
    <t>Employee Satisfaction and  
Organizational Assessment Survey</t>
  </si>
  <si>
    <r>
      <t xml:space="preserve">Executive Office </t>
    </r>
    <r>
      <rPr>
        <sz val="10"/>
        <color theme="1"/>
        <rFont val="Calibri"/>
        <family val="2"/>
        <scheme val="minor"/>
      </rPr>
      <t>(Counsel, IG, PAO, Safety, Small Bus., SSO)</t>
    </r>
  </si>
  <si>
    <t xml:space="preserve">Business Directorate </t>
  </si>
  <si>
    <t>Return completed survey to NAVFAC EXWC Human Resource Office</t>
  </si>
  <si>
    <t xml:space="preserve">Survey completion date: </t>
  </si>
  <si>
    <t>4. Pay plan:</t>
  </si>
  <si>
    <t>1. Name (optional):</t>
  </si>
  <si>
    <t>2. EXWC start date:</t>
  </si>
  <si>
    <t>4b. Job series:</t>
  </si>
  <si>
    <t>5. Pay grade:</t>
  </si>
  <si>
    <t>7a. Specific code:</t>
  </si>
  <si>
    <t>9. Gender:</t>
  </si>
  <si>
    <t xml:space="preserve">10. Race:  </t>
  </si>
  <si>
    <t>8. Total federal service length (includes previous federal service and federal service with EXWC):</t>
  </si>
  <si>
    <t>11. Are you a wounded warrior?</t>
  </si>
  <si>
    <t>12. Do you have a disability?</t>
  </si>
  <si>
    <t>13. Are you currently in a DAWIA coded billet?</t>
  </si>
  <si>
    <t>13a. [if yes]: What is the DAWIA acquisition category of your current position?</t>
  </si>
  <si>
    <t>17. In the past five years, were you (or are you currently) part of a Intern/Development Program?</t>
  </si>
  <si>
    <t>17a. [if yes]: Which Intern / Development Program were you apart of?</t>
  </si>
  <si>
    <t>22. I was valued by my Supervisor:</t>
  </si>
  <si>
    <t>23. I was empowered by my Supervisor:</t>
  </si>
  <si>
    <t>24. I was treated fairly by my Supervisor:</t>
  </si>
  <si>
    <t>25. I was trusted by my Supervisor:</t>
  </si>
  <si>
    <t xml:space="preserve">3. EXWC separation date: </t>
  </si>
  <si>
    <t xml:space="preserve">15. Where is your next job? </t>
  </si>
  <si>
    <t>15a. If retiring, do you plan to pursue alternate employment?</t>
  </si>
  <si>
    <t>CIO1</t>
  </si>
  <si>
    <t>CIO2</t>
  </si>
  <si>
    <t>CIO3</t>
  </si>
  <si>
    <t>CIO4</t>
  </si>
  <si>
    <t>Increased pay</t>
  </si>
  <si>
    <t xml:space="preserve">Interesting Work </t>
  </si>
  <si>
    <t>Interesting work</t>
  </si>
  <si>
    <t>Pay Plan</t>
  </si>
  <si>
    <t>Career Path</t>
  </si>
  <si>
    <t>Occupational Series</t>
  </si>
  <si>
    <t>Pay Grade</t>
  </si>
  <si>
    <t>UIC</t>
  </si>
  <si>
    <t xml:space="preserve">Department </t>
  </si>
  <si>
    <t>Dept. Abv.</t>
  </si>
  <si>
    <t>Total Fed Service</t>
  </si>
  <si>
    <t>Gender</t>
  </si>
  <si>
    <t>Race</t>
  </si>
  <si>
    <t>Current Acquisition Category</t>
  </si>
  <si>
    <t>Next Job</t>
  </si>
  <si>
    <t>Next ACQ Designation</t>
  </si>
  <si>
    <t>Survey Completion Date</t>
  </si>
  <si>
    <t>Survey Completion Month(#)</t>
  </si>
  <si>
    <t>Survey Completion Month</t>
  </si>
  <si>
    <t>Survey Completion Year</t>
  </si>
  <si>
    <t>Survey Completion Quarter</t>
  </si>
  <si>
    <r>
      <t xml:space="preserve">Executive Office </t>
    </r>
    <r>
      <rPr>
        <b/>
        <sz val="10"/>
        <color theme="1"/>
        <rFont val="Calibri"/>
        <family val="2"/>
        <scheme val="minor"/>
      </rPr>
      <t>(Counsel, IG, PAO, Safety, Small Bus., SSO)</t>
    </r>
  </si>
  <si>
    <t>All Dates</t>
  </si>
  <si>
    <t xml:space="preserve">Name </t>
  </si>
  <si>
    <t>EXWC Start Date</t>
  </si>
  <si>
    <t>EXWC Start Month(#)</t>
  </si>
  <si>
    <t>EXWC Start Month</t>
  </si>
  <si>
    <t>EXWC Start Year</t>
  </si>
  <si>
    <t>EXWC Start Quarter</t>
  </si>
  <si>
    <t>Survey Completion  FY</t>
  </si>
  <si>
    <t>EXWC Start  FY</t>
  </si>
  <si>
    <t>EXWC Separation Date</t>
  </si>
  <si>
    <t>EXWC Separation  Month(#)</t>
  </si>
  <si>
    <t>EXWC Separation Month</t>
  </si>
  <si>
    <t>EXWC Separation  Year</t>
  </si>
  <si>
    <t>EXWC Separation  Quarter</t>
  </si>
  <si>
    <t>EXWC Separation FY</t>
  </si>
  <si>
    <t xml:space="preserve"> Pay Plan</t>
  </si>
  <si>
    <t>BL/SL</t>
  </si>
  <si>
    <t>Division Code</t>
  </si>
  <si>
    <t>Total Federal Service Length</t>
  </si>
  <si>
    <t>Disability</t>
  </si>
  <si>
    <t>Current DAWIA Coded Billet</t>
  </si>
  <si>
    <t>Current ACQ Category</t>
  </si>
  <si>
    <t>Next Job DAWIA ACQ Designation</t>
  </si>
  <si>
    <t>Retiring Alternate Employment</t>
  </si>
  <si>
    <t>Wounded Warrior</t>
  </si>
  <si>
    <t xml:space="preserve">Intern / Development Program </t>
  </si>
  <si>
    <t>Intern / Development Program (name)</t>
  </si>
  <si>
    <t>N/A</t>
  </si>
  <si>
    <t>Rank 1 
(decision to leave)</t>
  </si>
  <si>
    <t>Rank 2
(decision to leave)</t>
  </si>
  <si>
    <t>Rank 3 
(decision to leave)</t>
  </si>
  <si>
    <t>HR Remarks</t>
  </si>
  <si>
    <t>Employee Remarks</t>
  </si>
  <si>
    <t>Recommend EXWC</t>
  </si>
  <si>
    <t>VERSION B - RANKS QUESTIONS THAT SAY "SELECT ALL THAT APPLY"</t>
  </si>
  <si>
    <t>4a. Career path (if applicable):</t>
  </si>
  <si>
    <t>6. UIC:</t>
  </si>
  <si>
    <t>14. What is the DAWIA acquisition designation of your next job (if applicable)?</t>
  </si>
  <si>
    <t xml:space="preserve">16. Using the following, please rank three of the factors as most important in your decision to leave your current position (if any). </t>
  </si>
  <si>
    <t>18.  Using the following, please rank three of the factors as most important that attacted you to your new job (if any).</t>
  </si>
  <si>
    <t>19. How will your new job differ from your current job (select up to three that apply)?</t>
  </si>
  <si>
    <t xml:space="preserve">20. Using the following, please rank three of the most important factors that EXWC could have done to prevent you from leaving (if any). </t>
  </si>
  <si>
    <t>26. Using the following, please rank three key things you would change if you were Commander for a day (if any).</t>
  </si>
  <si>
    <t>Comments /Additional remarks (please limit to 700 characters).</t>
  </si>
  <si>
    <t>21. Using the following, please rank three of the most important factors that you liked best about working at EXWC (if any).</t>
  </si>
  <si>
    <t>EXWC Service Length (Years)</t>
  </si>
  <si>
    <t>Rank 1 (next job attraction)</t>
  </si>
  <si>
    <t>Rank 2 (next job attraction)</t>
  </si>
  <si>
    <t>Rank 3 (next job attraction)</t>
  </si>
  <si>
    <t>Rank 1 (new job differs)</t>
  </si>
  <si>
    <t>Rank 2 (new job differs)</t>
  </si>
  <si>
    <t>Rank 3 (new job differs)</t>
  </si>
  <si>
    <t>Rank 1 (prevent from leaving)</t>
  </si>
  <si>
    <t>Rank 2 (prevent from leaving)</t>
  </si>
  <si>
    <t>Rank 3 (prevent from leaving)</t>
  </si>
  <si>
    <t>Rank 1 (best about EXWC)</t>
  </si>
  <si>
    <t>Rank 2 (best about EXWC)</t>
  </si>
  <si>
    <t>Rank 3 (best about EXWC)</t>
  </si>
  <si>
    <t>Valued by Supervisor</t>
  </si>
  <si>
    <t>Empowered by Supervisor</t>
  </si>
  <si>
    <t>Treated Fairly</t>
  </si>
  <si>
    <t>Trusted by Supervisor</t>
  </si>
  <si>
    <t>Rank 1 (Commander for a day)</t>
  </si>
  <si>
    <t>Rank 2 (Commander for a day)</t>
  </si>
  <si>
    <t>Rank 3 (Commander for a day)</t>
  </si>
  <si>
    <t>VERSION C - LIMITS QUESTIONS TO TOP THREE IMPORTANT, FIXED ORDERING AND FORMATTING OF ALL QUESTIONS</t>
  </si>
  <si>
    <t>27. Do you believe you were given opportunity for professional growth?</t>
  </si>
  <si>
    <t>28. Were there available opportunities for advancement?</t>
  </si>
  <si>
    <t>29. Were you given opportunities to accept additional responsibilities?</t>
  </si>
  <si>
    <t xml:space="preserve">30. Were your talents and skills fully utilized? </t>
  </si>
  <si>
    <t>31. Other comments regarding training and professional growth opportunities (please limit to 700 characters).</t>
  </si>
  <si>
    <t>32. Would you recommend this organization to others looking for a job?</t>
  </si>
  <si>
    <t xml:space="preserve">32a. [if yes] What is one thing that makes EXWC unique? </t>
  </si>
  <si>
    <t>33. Please use space below to elaborate on answers from previous questions and/or provide comments (please limit to 700 characters).</t>
  </si>
  <si>
    <t>Opportunity for growth</t>
  </si>
  <si>
    <t>Available for opportunity advancement</t>
  </si>
  <si>
    <t xml:space="preserve">Opportunities to accept responsibilities </t>
  </si>
  <si>
    <t>Talents and Skills utilized</t>
  </si>
  <si>
    <t>Other comments regarding training and growth</t>
  </si>
  <si>
    <t>Would you recommend this org to others</t>
  </si>
  <si>
    <t>Factors for Leaving</t>
  </si>
  <si>
    <t>Intern/Development Program</t>
  </si>
  <si>
    <t xml:space="preserve">What attracted you to the new job? </t>
  </si>
  <si>
    <t xml:space="preserve">How will your new job differ from your current job? </t>
  </si>
  <si>
    <t>Prevent from Leaving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</si>
</sst>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0206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medium">
        <color theme="4" tint="-0.24994659260841701"/>
      </top>
      <bottom style="thin">
        <color indexed="64"/>
      </bottom>
      <diagonal/>
    </border>
    <border>
      <left/>
      <right style="thin">
        <color indexed="64"/>
      </right>
      <top style="medium">
        <color theme="4" tint="-0.2499465926084170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1">
    <xf numFmtId="0" fontId="0" fillId="0" borderId="0" xfId="0"/>
    <xf numFmtId="49" fontId="0" fillId="0" borderId="0" xfId="0" applyNumberFormat="1"/>
    <xf numFmtId="0" fontId="0" fillId="3" borderId="0" xfId="0" applyFill="1" applyBorder="1" applyAlignment="1">
      <alignment horizontal="center" vertical="top"/>
    </xf>
    <xf numFmtId="0" fontId="0" fillId="3" borderId="0" xfId="0" applyFill="1"/>
    <xf numFmtId="0" fontId="2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top"/>
    </xf>
    <xf numFmtId="14" fontId="0" fillId="3" borderId="0" xfId="0" applyNumberFormat="1" applyFill="1"/>
    <xf numFmtId="1" fontId="0" fillId="0" borderId="0" xfId="0" applyNumberFormat="1"/>
    <xf numFmtId="0" fontId="0" fillId="2" borderId="13" xfId="0" applyFill="1" applyBorder="1" applyAlignment="1" applyProtection="1">
      <alignment horizontal="center"/>
      <protection locked="0"/>
    </xf>
    <xf numFmtId="0" fontId="5" fillId="3" borderId="0" xfId="0" applyFont="1" applyFill="1" applyBorder="1" applyAlignment="1" applyProtection="1">
      <alignment vertical="center" wrapText="1"/>
    </xf>
    <xf numFmtId="0" fontId="5" fillId="3" borderId="9" xfId="0" applyFont="1" applyFill="1" applyBorder="1" applyAlignment="1" applyProtection="1">
      <alignment vertical="center" wrapText="1"/>
    </xf>
    <xf numFmtId="0" fontId="1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/>
    </xf>
    <xf numFmtId="0" fontId="0" fillId="3" borderId="0" xfId="0" applyFill="1" applyProtection="1"/>
    <xf numFmtId="14" fontId="0" fillId="3" borderId="0" xfId="0" applyNumberFormat="1" applyFill="1" applyProtection="1"/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49" fontId="0" fillId="3" borderId="0" xfId="0" applyNumberFormat="1" applyFill="1" applyAlignment="1" applyProtection="1">
      <alignment horizontal="right"/>
    </xf>
    <xf numFmtId="0" fontId="0" fillId="0" borderId="0" xfId="0" applyFill="1" applyProtection="1"/>
    <xf numFmtId="0" fontId="0" fillId="3" borderId="0" xfId="0" applyFill="1" applyBorder="1" applyAlignment="1" applyProtection="1">
      <alignment horizontal="center" vertical="top"/>
    </xf>
    <xf numFmtId="0" fontId="0" fillId="3" borderId="0" xfId="0" applyFill="1" applyBorder="1" applyProtection="1"/>
    <xf numFmtId="0" fontId="0" fillId="3" borderId="0" xfId="0" applyNumberFormat="1" applyFill="1" applyBorder="1" applyProtection="1"/>
    <xf numFmtId="0" fontId="0" fillId="3" borderId="0" xfId="0" applyFill="1" applyAlignment="1" applyProtection="1">
      <alignment horizontal="left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/>
    <xf numFmtId="14" fontId="0" fillId="3" borderId="0" xfId="0" applyNumberFormat="1" applyFill="1" applyAlignment="1" applyProtection="1"/>
    <xf numFmtId="0" fontId="0" fillId="3" borderId="0" xfId="0" applyFill="1" applyAlignment="1" applyProtection="1"/>
    <xf numFmtId="49" fontId="0" fillId="3" borderId="0" xfId="0" applyNumberFormat="1" applyFill="1" applyAlignment="1" applyProtection="1"/>
    <xf numFmtId="0" fontId="0" fillId="3" borderId="0" xfId="0" applyFill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 wrapText="1"/>
    </xf>
    <xf numFmtId="0" fontId="8" fillId="3" borderId="9" xfId="0" applyFont="1" applyFill="1" applyBorder="1" applyAlignment="1" applyProtection="1">
      <alignment vertical="center" wrapText="1"/>
    </xf>
    <xf numFmtId="0" fontId="7" fillId="0" borderId="0" xfId="0" applyFont="1"/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3" borderId="0" xfId="0" applyFill="1" applyBorder="1" applyAlignment="1" applyProtection="1"/>
    <xf numFmtId="0" fontId="6" fillId="3" borderId="0" xfId="0" applyFont="1" applyFill="1" applyProtection="1"/>
    <xf numFmtId="0" fontId="0" fillId="3" borderId="0" xfId="0" applyFill="1" applyAlignment="1" applyProtection="1">
      <alignment horizontal="right"/>
    </xf>
    <xf numFmtId="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/>
    </xf>
    <xf numFmtId="0" fontId="7" fillId="0" borderId="0" xfId="0" applyFont="1" applyAlignment="1">
      <alignment horizontal="left" vertical="center"/>
    </xf>
    <xf numFmtId="0" fontId="9" fillId="2" borderId="0" xfId="0" applyFont="1" applyFill="1" applyAlignment="1">
      <alignment horizontal="left" vertical="center" wrapText="1"/>
    </xf>
    <xf numFmtId="0" fontId="9" fillId="0" borderId="0" xfId="0" applyFont="1" applyAlignment="1">
      <alignment horizontal="left" wrapText="1"/>
    </xf>
    <xf numFmtId="14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43" fontId="4" fillId="0" borderId="0" xfId="0" applyNumberFormat="1" applyFont="1" applyAlignment="1">
      <alignment horizontal="center"/>
    </xf>
    <xf numFmtId="43" fontId="4" fillId="0" borderId="0" xfId="0" quotePrefix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10" fillId="4" borderId="25" xfId="0" applyFont="1" applyFill="1" applyBorder="1" applyAlignment="1">
      <alignment horizontal="left" wrapText="1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14" fontId="13" fillId="0" borderId="0" xfId="0" applyNumberFormat="1" applyFont="1" applyFill="1" applyBorder="1" applyAlignment="1">
      <alignment horizontal="center" vertical="center" wrapText="1"/>
    </xf>
    <xf numFmtId="14" fontId="12" fillId="7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2" fillId="5" borderId="0" xfId="0" applyFont="1" applyFill="1" applyBorder="1" applyAlignment="1">
      <alignment horizontal="center" vertical="center" wrapText="1"/>
    </xf>
    <xf numFmtId="0" fontId="12" fillId="6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11" fillId="0" borderId="28" xfId="0" applyFont="1" applyFill="1" applyBorder="1" applyAlignment="1">
      <alignment horizontal="center" vertical="center" wrapText="1"/>
    </xf>
    <xf numFmtId="0" fontId="11" fillId="0" borderId="29" xfId="0" applyFont="1" applyFill="1" applyBorder="1" applyAlignment="1">
      <alignment horizontal="center" vertical="center" wrapText="1"/>
    </xf>
    <xf numFmtId="0" fontId="11" fillId="0" borderId="3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right" vertical="center"/>
    </xf>
    <xf numFmtId="14" fontId="0" fillId="3" borderId="0" xfId="0" applyNumberForma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0" fillId="3" borderId="0" xfId="0" applyFont="1" applyFill="1" applyBorder="1" applyAlignment="1" applyProtection="1"/>
    <xf numFmtId="14" fontId="0" fillId="3" borderId="0" xfId="0" applyNumberFormat="1" applyFill="1" applyBorder="1" applyAlignment="1" applyProtection="1"/>
    <xf numFmtId="0" fontId="0" fillId="3" borderId="0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right"/>
    </xf>
    <xf numFmtId="0" fontId="6" fillId="3" borderId="0" xfId="0" applyFont="1" applyFill="1" applyBorder="1" applyProtection="1"/>
    <xf numFmtId="49" fontId="0" fillId="3" borderId="0" xfId="0" applyNumberFormat="1" applyFill="1" applyBorder="1" applyAlignment="1" applyProtection="1"/>
    <xf numFmtId="0" fontId="0" fillId="3" borderId="0" xfId="0" applyFill="1" applyBorder="1"/>
    <xf numFmtId="49" fontId="0" fillId="3" borderId="0" xfId="0" applyNumberFormat="1" applyFill="1" applyBorder="1" applyAlignment="1" applyProtection="1">
      <alignment horizontal="right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right"/>
    </xf>
    <xf numFmtId="0" fontId="0" fillId="3" borderId="0" xfId="0" applyFill="1" applyAlignment="1" applyProtection="1">
      <alignment horizontal="right"/>
    </xf>
    <xf numFmtId="14" fontId="13" fillId="0" borderId="31" xfId="0" applyNumberFormat="1" applyFont="1" applyFill="1" applyBorder="1" applyAlignment="1">
      <alignment horizontal="center" vertical="center" wrapText="1"/>
    </xf>
    <xf numFmtId="14" fontId="13" fillId="0" borderId="32" xfId="0" applyNumberFormat="1" applyFont="1" applyFill="1" applyBorder="1" applyAlignment="1">
      <alignment horizontal="center" vertical="center" wrapText="1"/>
    </xf>
    <xf numFmtId="14" fontId="13" fillId="0" borderId="33" xfId="0" applyNumberFormat="1" applyFont="1" applyFill="1" applyBorder="1" applyAlignment="1">
      <alignment horizontal="center" vertical="center" wrapText="1"/>
    </xf>
    <xf numFmtId="0" fontId="11" fillId="0" borderId="31" xfId="0" applyFont="1" applyFill="1" applyBorder="1" applyAlignment="1">
      <alignment horizontal="center" vertical="center" wrapText="1"/>
    </xf>
    <xf numFmtId="0" fontId="11" fillId="0" borderId="32" xfId="0" applyFont="1" applyFill="1" applyBorder="1" applyAlignment="1">
      <alignment horizontal="center" vertical="center" wrapText="1"/>
    </xf>
    <xf numFmtId="0" fontId="11" fillId="0" borderId="33" xfId="0" applyFont="1" applyFill="1" applyBorder="1" applyAlignment="1">
      <alignment horizontal="center" vertical="center" wrapText="1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right"/>
    </xf>
    <xf numFmtId="0" fontId="8" fillId="3" borderId="0" xfId="0" applyFont="1" applyFill="1" applyBorder="1" applyAlignment="1" applyProtection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3" fontId="0" fillId="3" borderId="0" xfId="1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 vertical="center" wrapText="1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0" xfId="0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horizontal="left" vertical="top"/>
      <protection locked="0"/>
    </xf>
    <xf numFmtId="0" fontId="0" fillId="2" borderId="6" xfId="0" applyFill="1" applyBorder="1" applyAlignment="1" applyProtection="1">
      <alignment horizontal="left" vertical="top"/>
      <protection locked="0"/>
    </xf>
    <xf numFmtId="0" fontId="0" fillId="2" borderId="7" xfId="0" applyFill="1" applyBorder="1" applyAlignment="1" applyProtection="1">
      <alignment horizontal="left" vertical="top"/>
      <protection locked="0"/>
    </xf>
    <xf numFmtId="0" fontId="0" fillId="2" borderId="8" xfId="0" applyFill="1" applyBorder="1" applyAlignment="1" applyProtection="1">
      <alignment horizontal="left" vertical="top"/>
      <protection locked="0"/>
    </xf>
    <xf numFmtId="0" fontId="0" fillId="2" borderId="1" xfId="0" applyFill="1" applyBorder="1" applyAlignment="1" applyProtection="1">
      <alignment horizontal="center" vertical="top"/>
      <protection locked="0"/>
    </xf>
    <xf numFmtId="0" fontId="0" fillId="2" borderId="2" xfId="0" applyFill="1" applyBorder="1" applyAlignment="1" applyProtection="1">
      <alignment horizontal="center" vertical="top"/>
      <protection locked="0"/>
    </xf>
    <xf numFmtId="0" fontId="0" fillId="2" borderId="3" xfId="0" applyFill="1" applyBorder="1" applyAlignment="1" applyProtection="1">
      <alignment horizontal="center" vertical="top"/>
      <protection locked="0"/>
    </xf>
    <xf numFmtId="0" fontId="0" fillId="2" borderId="4" xfId="0" applyFill="1" applyBorder="1" applyAlignment="1" applyProtection="1">
      <alignment horizontal="center" vertical="top"/>
      <protection locked="0"/>
    </xf>
    <xf numFmtId="0" fontId="0" fillId="2" borderId="0" xfId="0" applyFill="1" applyBorder="1" applyAlignment="1" applyProtection="1">
      <alignment horizontal="center" vertical="top"/>
      <protection locked="0"/>
    </xf>
    <xf numFmtId="0" fontId="0" fillId="2" borderId="5" xfId="0" applyFill="1" applyBorder="1" applyAlignment="1" applyProtection="1">
      <alignment horizontal="center" vertical="top"/>
      <protection locked="0"/>
    </xf>
    <xf numFmtId="0" fontId="0" fillId="2" borderId="6" xfId="0" applyFill="1" applyBorder="1" applyAlignment="1" applyProtection="1">
      <alignment horizontal="center" vertical="top"/>
      <protection locked="0"/>
    </xf>
    <xf numFmtId="0" fontId="0" fillId="2" borderId="7" xfId="0" applyFill="1" applyBorder="1" applyAlignment="1" applyProtection="1">
      <alignment horizontal="center" vertical="top"/>
      <protection locked="0"/>
    </xf>
    <xf numFmtId="0" fontId="0" fillId="2" borderId="8" xfId="0" applyFill="1" applyBorder="1" applyAlignment="1" applyProtection="1">
      <alignment horizontal="center" vertical="top"/>
      <protection locked="0"/>
    </xf>
    <xf numFmtId="0" fontId="7" fillId="3" borderId="14" xfId="0" applyFont="1" applyFill="1" applyBorder="1" applyAlignment="1" applyProtection="1">
      <alignment horizontal="center"/>
    </xf>
    <xf numFmtId="14" fontId="0" fillId="2" borderId="15" xfId="0" applyNumberFormat="1" applyFill="1" applyBorder="1" applyAlignment="1" applyProtection="1">
      <alignment horizontal="center" vertical="center"/>
      <protection locked="0"/>
    </xf>
    <xf numFmtId="14" fontId="0" fillId="2" borderId="16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11" xfId="0" applyNumberFormat="1" applyFill="1" applyBorder="1" applyAlignment="1" applyProtection="1">
      <alignment horizontal="center" vertical="center"/>
      <protection locked="0"/>
    </xf>
    <xf numFmtId="43" fontId="0" fillId="2" borderId="10" xfId="1" applyFont="1" applyFill="1" applyBorder="1" applyAlignment="1" applyProtection="1">
      <alignment horizontal="center"/>
      <protection locked="0"/>
    </xf>
    <xf numFmtId="43" fontId="0" fillId="2" borderId="11" xfId="1" applyFont="1" applyFill="1" applyBorder="1" applyAlignment="1" applyProtection="1">
      <alignment horizontal="center"/>
      <protection locked="0"/>
    </xf>
    <xf numFmtId="43" fontId="0" fillId="2" borderId="12" xfId="1" applyFon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right"/>
    </xf>
    <xf numFmtId="0" fontId="10" fillId="4" borderId="17" xfId="0" applyFont="1" applyFill="1" applyBorder="1" applyAlignment="1">
      <alignment horizontal="left" wrapText="1"/>
    </xf>
    <xf numFmtId="0" fontId="10" fillId="4" borderId="18" xfId="0" applyFont="1" applyFill="1" applyBorder="1" applyAlignment="1">
      <alignment horizontal="left" wrapText="1"/>
    </xf>
    <xf numFmtId="0" fontId="10" fillId="4" borderId="19" xfId="0" applyFont="1" applyFill="1" applyBorder="1" applyAlignment="1">
      <alignment horizontal="left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32655</xdr:colOff>
      <xdr:row>0</xdr:row>
      <xdr:rowOff>43543</xdr:rowOff>
    </xdr:from>
    <xdr:to>
      <xdr:col>3</xdr:col>
      <xdr:colOff>587827</xdr:colOff>
      <xdr:row>2</xdr:row>
      <xdr:rowOff>141513</xdr:rowOff>
    </xdr:to>
    <xdr:pic>
      <xdr:nvPicPr>
        <xdr:cNvPr id="2" name="Picture 1"/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2" t="7061" r="3477" b="6059"/>
        <a:stretch/>
      </xdr:blipFill>
      <xdr:spPr>
        <a:xfrm>
          <a:off x="32655" y="43543"/>
          <a:ext cx="2669722" cy="612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32655</xdr:colOff>
      <xdr:row>0</xdr:row>
      <xdr:rowOff>43543</xdr:rowOff>
    </xdr:from>
    <xdr:to>
      <xdr:col>3</xdr:col>
      <xdr:colOff>587827</xdr:colOff>
      <xdr:row>2</xdr:row>
      <xdr:rowOff>141513</xdr:rowOff>
    </xdr:to>
    <xdr:pic>
      <xdr:nvPicPr>
        <xdr:cNvPr id="7" name="Picture 6"/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2" t="7061" r="3477" b="6059"/>
        <a:stretch/>
      </xdr:blipFill>
      <xdr:spPr>
        <a:xfrm>
          <a:off x="32655" y="43543"/>
          <a:ext cx="2514601" cy="6095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:XFC62"/>
  <sheetViews>
    <sheetView view="pageLayout" zoomScale="145" zoomScaleNormal="175" zoomScaleSheetLayoutView="175" zoomScalePageLayoutView="145" workbookViewId="0">
      <selection activeCell="F9" sqref="F9"/>
    </sheetView>
  </sheetViews>
  <sheetFormatPr defaultColWidth="0" defaultRowHeight="0" customHeight="1" zeroHeight="1" x14ac:dyDescent="0.25"/>
  <cols>
    <col min="1" max="1" width="13" style="36" customWidth="1"/>
    <col min="2" max="2" width="11.28515625" style="20" customWidth="1"/>
    <col min="3" max="3" width="5.140625" style="20" customWidth="1"/>
    <col min="4" max="4" width="12" style="20" customWidth="1"/>
    <col min="5" max="5" width="11.7109375" style="20" customWidth="1"/>
    <col min="6" max="6" width="11" style="20" customWidth="1"/>
    <col min="7" max="7" width="12.28515625" style="20" customWidth="1"/>
    <col min="8" max="8" width="10.5703125" style="20" customWidth="1"/>
    <col min="9" max="9" width="9.85546875" style="20" customWidth="1"/>
    <col min="10" max="10" width="11.140625" style="20" customWidth="1"/>
    <col min="11" max="11" width="0.42578125" style="3" customWidth="1"/>
    <col min="12" max="16383" width="9.140625" style="3" hidden="1"/>
    <col min="16384" max="16384" width="3.28515625" style="3" hidden="1"/>
  </cols>
  <sheetData>
    <row r="1" spans="1:14" ht="20.25" customHeight="1" x14ac:dyDescent="0.25">
      <c r="A1" s="9">
        <f>Introduction!G1</f>
        <v>0</v>
      </c>
      <c r="B1" s="9"/>
      <c r="C1" s="29" t="s">
        <v>369</v>
      </c>
      <c r="D1" s="29"/>
      <c r="E1" s="99" t="s">
        <v>370</v>
      </c>
      <c r="F1" s="99"/>
      <c r="G1" s="99"/>
      <c r="H1" s="99"/>
      <c r="I1" s="99"/>
      <c r="J1" s="99"/>
      <c r="K1" s="4"/>
      <c r="L1" s="4"/>
      <c r="M1" s="4"/>
      <c r="N1" s="4"/>
    </row>
    <row r="2" spans="1:14" ht="20.25" customHeight="1" x14ac:dyDescent="0.25">
      <c r="A2" s="9"/>
      <c r="B2" s="9"/>
      <c r="C2" s="29"/>
      <c r="D2" s="29"/>
      <c r="E2" s="99"/>
      <c r="F2" s="99"/>
      <c r="G2" s="99"/>
      <c r="H2" s="99"/>
      <c r="I2" s="99"/>
      <c r="J2" s="99"/>
      <c r="K2" s="4"/>
      <c r="L2" s="4"/>
      <c r="M2" s="4"/>
      <c r="N2" s="4"/>
    </row>
    <row r="3" spans="1:14" ht="16.5" customHeight="1" x14ac:dyDescent="0.25">
      <c r="A3" s="9"/>
      <c r="B3" s="9"/>
      <c r="C3" s="29"/>
      <c r="D3" s="29"/>
      <c r="E3" s="99"/>
      <c r="F3" s="99"/>
      <c r="G3" s="99"/>
      <c r="H3" s="99"/>
      <c r="I3" s="99"/>
      <c r="J3" s="99"/>
      <c r="K3" s="4"/>
      <c r="L3" s="4"/>
      <c r="M3" s="4"/>
      <c r="N3" s="4"/>
    </row>
    <row r="4" spans="1:14" ht="14.1" customHeight="1" x14ac:dyDescent="0.4">
      <c r="A4" s="75"/>
      <c r="B4" s="76"/>
      <c r="C4" s="76"/>
      <c r="D4" s="76"/>
      <c r="E4" s="76"/>
      <c r="F4" s="76"/>
      <c r="G4" s="76"/>
      <c r="H4" s="77"/>
      <c r="I4" s="100"/>
      <c r="J4" s="100"/>
    </row>
    <row r="5" spans="1:14" ht="14.1" customHeight="1" x14ac:dyDescent="0.4">
      <c r="A5" s="75" t="s">
        <v>457</v>
      </c>
      <c r="B5" s="76"/>
      <c r="C5" s="76"/>
      <c r="D5" s="76"/>
      <c r="E5" s="76"/>
      <c r="F5" s="76"/>
      <c r="G5" s="76"/>
      <c r="J5" s="78"/>
    </row>
    <row r="6" spans="1:14" ht="14.1" customHeight="1" x14ac:dyDescent="0.25">
      <c r="A6" s="75"/>
      <c r="B6" s="79"/>
      <c r="C6" s="97"/>
      <c r="D6" s="97"/>
      <c r="E6" s="97"/>
    </row>
    <row r="7" spans="1:14" ht="14.1" customHeight="1" x14ac:dyDescent="0.4">
      <c r="A7" s="80" t="s">
        <v>488</v>
      </c>
      <c r="B7" s="76"/>
      <c r="C7" s="76"/>
      <c r="F7" s="76"/>
      <c r="G7" s="76"/>
      <c r="H7" s="76"/>
    </row>
    <row r="8" spans="1:14" ht="14.1" customHeight="1" x14ac:dyDescent="0.25">
      <c r="A8" s="81"/>
      <c r="B8" s="78"/>
      <c r="C8" s="100"/>
      <c r="D8" s="100"/>
      <c r="E8" s="100"/>
      <c r="F8" s="82"/>
      <c r="H8" s="83"/>
      <c r="I8" s="100"/>
      <c r="J8" s="100"/>
    </row>
    <row r="9" spans="1:14" ht="14.1" customHeight="1" x14ac:dyDescent="0.25"/>
    <row r="10" spans="1:14" ht="14.1" customHeight="1" x14ac:dyDescent="0.25">
      <c r="B10" s="97"/>
      <c r="C10" s="97"/>
      <c r="D10" s="97"/>
      <c r="E10" s="98"/>
      <c r="F10" s="98"/>
      <c r="G10" s="98"/>
      <c r="H10" s="97"/>
      <c r="I10" s="97"/>
      <c r="J10" s="97"/>
    </row>
    <row r="11" spans="1:14" ht="14.1" customHeight="1" x14ac:dyDescent="0.25"/>
    <row r="12" spans="1:14" ht="14.1" customHeight="1" x14ac:dyDescent="0.25">
      <c r="B12" s="97"/>
      <c r="C12" s="97"/>
      <c r="D12" s="97"/>
      <c r="E12" s="97"/>
      <c r="F12" s="97"/>
      <c r="G12" s="97"/>
    </row>
    <row r="13" spans="1:14" ht="14.1" customHeight="1" x14ac:dyDescent="0.25">
      <c r="M13" s="6"/>
    </row>
    <row r="14" spans="1:14" ht="14.1" customHeight="1" x14ac:dyDescent="0.25">
      <c r="B14" s="101"/>
      <c r="C14" s="101"/>
      <c r="H14" s="88"/>
      <c r="M14" s="6"/>
    </row>
    <row r="15" spans="1:14" ht="14.1" customHeight="1" x14ac:dyDescent="0.25"/>
    <row r="16" spans="1:14" ht="14.1" customHeight="1" x14ac:dyDescent="0.25">
      <c r="F16" s="101"/>
      <c r="G16" s="101"/>
      <c r="H16" s="101"/>
      <c r="I16" s="101"/>
      <c r="J16" s="101"/>
    </row>
    <row r="17" spans="1:10" ht="14.1" customHeight="1" x14ac:dyDescent="0.25"/>
    <row r="18" spans="1:10" ht="14.1" customHeight="1" x14ac:dyDescent="0.25">
      <c r="C18" s="101"/>
      <c r="D18" s="101"/>
    </row>
    <row r="19" spans="1:10" ht="14.1" customHeight="1" x14ac:dyDescent="0.25">
      <c r="I19" s="21"/>
    </row>
    <row r="20" spans="1:10" ht="14.1" customHeight="1" x14ac:dyDescent="0.25">
      <c r="C20" s="84"/>
      <c r="H20" s="101"/>
      <c r="I20" s="101"/>
    </row>
    <row r="21" spans="1:10" ht="14.1" customHeight="1" x14ac:dyDescent="0.25"/>
    <row r="22" spans="1:10" ht="14.1" customHeight="1" x14ac:dyDescent="0.25">
      <c r="B22" s="101"/>
      <c r="C22" s="101"/>
      <c r="D22" s="101"/>
      <c r="F22" s="83"/>
      <c r="G22" s="101"/>
      <c r="H22" s="101"/>
      <c r="I22" s="101"/>
      <c r="J22" s="101"/>
    </row>
    <row r="23" spans="1:10" ht="14.1" customHeight="1" x14ac:dyDescent="0.25"/>
    <row r="24" spans="1:10" ht="14.1" customHeight="1" x14ac:dyDescent="0.25">
      <c r="A24" s="85"/>
      <c r="D24" s="101"/>
      <c r="E24" s="101"/>
      <c r="F24" s="101"/>
    </row>
    <row r="25" spans="1:10" ht="14.1" customHeight="1" x14ac:dyDescent="0.25"/>
    <row r="26" spans="1:10" ht="14.1" customHeight="1" x14ac:dyDescent="0.25">
      <c r="D26" s="101"/>
      <c r="E26" s="101"/>
      <c r="F26" s="101"/>
    </row>
    <row r="27" spans="1:10" ht="14.1" customHeight="1" x14ac:dyDescent="0.25"/>
    <row r="28" spans="1:10" ht="14.1" customHeight="1" x14ac:dyDescent="0.25">
      <c r="A28" s="82"/>
      <c r="E28" s="101"/>
      <c r="F28" s="101"/>
    </row>
    <row r="29" spans="1:10" ht="14.1" customHeight="1" x14ac:dyDescent="0.25"/>
    <row r="30" spans="1:10" ht="14.1" customHeight="1" x14ac:dyDescent="0.25"/>
    <row r="31" spans="1:10" ht="14.1" customHeight="1" x14ac:dyDescent="0.25">
      <c r="B31" s="101"/>
      <c r="C31" s="101"/>
      <c r="D31" s="101"/>
      <c r="E31" s="101"/>
      <c r="F31" s="101"/>
      <c r="G31" s="101"/>
    </row>
    <row r="32" spans="1:10" ht="14.1" customHeight="1" x14ac:dyDescent="0.25"/>
    <row r="33" spans="1:10" ht="14.1" customHeight="1" x14ac:dyDescent="0.25">
      <c r="G33" s="88"/>
      <c r="J33" s="86"/>
    </row>
    <row r="34" spans="1:10" ht="14.1" customHeight="1" x14ac:dyDescent="0.25">
      <c r="J34" s="86"/>
    </row>
    <row r="35" spans="1:10" ht="14.1" customHeight="1" x14ac:dyDescent="0.25">
      <c r="C35" s="101"/>
      <c r="D35" s="101"/>
      <c r="E35" s="101"/>
      <c r="I35" s="86"/>
    </row>
    <row r="36" spans="1:10" ht="14.1" customHeight="1" x14ac:dyDescent="0.25"/>
    <row r="37" spans="1:10" ht="14.1" customHeight="1" x14ac:dyDescent="0.25">
      <c r="F37" s="88"/>
    </row>
    <row r="38" spans="1:10" ht="14.1" customHeight="1" x14ac:dyDescent="0.25">
      <c r="H38" s="86"/>
      <c r="I38" s="86"/>
      <c r="J38" s="86"/>
    </row>
    <row r="39" spans="1:10" ht="14.1" customHeight="1" x14ac:dyDescent="0.25"/>
    <row r="40" spans="1:10" ht="14.1" customHeight="1" x14ac:dyDescent="0.25">
      <c r="A40" s="87"/>
      <c r="B40" s="101"/>
      <c r="C40" s="101"/>
      <c r="D40" s="101"/>
      <c r="E40" s="101"/>
    </row>
    <row r="41" spans="1:10" ht="14.1" customHeight="1" x14ac:dyDescent="0.25">
      <c r="A41" s="87"/>
      <c r="B41" s="101"/>
      <c r="C41" s="101"/>
      <c r="D41" s="101"/>
      <c r="E41" s="101"/>
    </row>
    <row r="42" spans="1:10" ht="14.1" customHeight="1" x14ac:dyDescent="0.25">
      <c r="A42" s="87"/>
      <c r="B42" s="101"/>
      <c r="C42" s="101"/>
      <c r="D42" s="101"/>
      <c r="E42" s="101"/>
    </row>
    <row r="43" spans="1:10" ht="14.1" customHeight="1" x14ac:dyDescent="0.25"/>
    <row r="44" spans="1:10" ht="14.1" customHeight="1" x14ac:dyDescent="0.25">
      <c r="I44" s="101"/>
      <c r="J44" s="101"/>
    </row>
    <row r="45" spans="1:10" ht="14.1" customHeight="1" x14ac:dyDescent="0.25"/>
    <row r="46" spans="1:10" ht="14.1" customHeight="1" x14ac:dyDescent="0.25"/>
    <row r="47" spans="1:10" ht="14.1" customHeight="1" x14ac:dyDescent="0.25">
      <c r="B47" s="101"/>
      <c r="C47" s="101"/>
      <c r="D47" s="101"/>
      <c r="E47" s="101"/>
    </row>
    <row r="48" spans="1:10" ht="14.1" customHeight="1" x14ac:dyDescent="0.25"/>
    <row r="49" spans="1:10" ht="14.1" customHeight="1" x14ac:dyDescent="0.25"/>
    <row r="50" spans="1:10" ht="14.1" customHeight="1" x14ac:dyDescent="0.25">
      <c r="A50" s="85"/>
      <c r="B50" s="101"/>
      <c r="C50" s="101"/>
      <c r="D50" s="101"/>
      <c r="E50" s="101"/>
      <c r="F50" s="87"/>
      <c r="G50" s="101"/>
      <c r="H50" s="101"/>
      <c r="I50" s="101"/>
      <c r="J50" s="101"/>
    </row>
    <row r="51" spans="1:10" ht="14.1" customHeight="1" x14ac:dyDescent="0.25">
      <c r="A51" s="85"/>
      <c r="B51" s="101"/>
      <c r="C51" s="101"/>
      <c r="D51" s="101"/>
      <c r="E51" s="101"/>
      <c r="F51" s="87"/>
      <c r="G51" s="101"/>
      <c r="H51" s="101"/>
      <c r="I51" s="101"/>
      <c r="J51" s="101"/>
    </row>
    <row r="52" spans="1:10" ht="14.1" customHeight="1" x14ac:dyDescent="0.25">
      <c r="A52" s="85"/>
      <c r="B52" s="101"/>
      <c r="C52" s="101"/>
      <c r="D52" s="101"/>
      <c r="E52" s="101"/>
      <c r="F52" s="87"/>
      <c r="G52" s="101"/>
      <c r="H52" s="101"/>
      <c r="I52" s="101"/>
      <c r="J52" s="101"/>
    </row>
    <row r="53" spans="1:10" ht="14.1" customHeight="1" x14ac:dyDescent="0.25"/>
    <row r="54" spans="1:10" ht="14.1" customHeight="1" x14ac:dyDescent="0.25"/>
    <row r="55" spans="1:10" ht="14.1" customHeight="1" x14ac:dyDescent="0.25">
      <c r="B55" s="101"/>
      <c r="C55" s="101"/>
      <c r="D55" s="101"/>
      <c r="E55" s="101"/>
      <c r="G55" s="101"/>
      <c r="H55" s="101"/>
      <c r="I55" s="101"/>
      <c r="J55" s="101"/>
    </row>
    <row r="56" spans="1:10" ht="14.1" customHeight="1" x14ac:dyDescent="0.25">
      <c r="B56" s="101"/>
      <c r="C56" s="101"/>
      <c r="D56" s="101"/>
      <c r="E56" s="101"/>
      <c r="G56" s="101"/>
      <c r="H56" s="101"/>
      <c r="I56" s="101"/>
      <c r="J56" s="101"/>
    </row>
    <row r="57" spans="1:10" ht="14.1" customHeight="1" x14ac:dyDescent="0.25"/>
    <row r="58" spans="1:10" ht="14.1" customHeight="1" x14ac:dyDescent="0.25"/>
    <row r="59" spans="1:10" ht="14.1" customHeight="1" x14ac:dyDescent="0.25">
      <c r="B59" s="102"/>
      <c r="C59" s="102"/>
      <c r="D59" s="102"/>
      <c r="E59" s="102"/>
      <c r="G59" s="102"/>
      <c r="H59" s="102"/>
      <c r="I59" s="102"/>
      <c r="J59" s="102"/>
    </row>
    <row r="60" spans="1:10" ht="14.1" customHeight="1" x14ac:dyDescent="0.25">
      <c r="B60" s="102"/>
      <c r="C60" s="102"/>
      <c r="D60" s="102"/>
      <c r="E60" s="102"/>
      <c r="G60" s="102"/>
      <c r="H60" s="102"/>
      <c r="I60" s="102"/>
      <c r="J60" s="102"/>
    </row>
    <row r="61" spans="1:10" ht="14.1" customHeight="1" x14ac:dyDescent="0.25">
      <c r="B61" s="102"/>
      <c r="C61" s="102"/>
      <c r="D61" s="102"/>
      <c r="E61" s="102"/>
      <c r="G61" s="102"/>
      <c r="H61" s="102"/>
      <c r="I61" s="102"/>
      <c r="J61" s="102"/>
    </row>
    <row r="62" spans="1:10" ht="14.1" customHeight="1" x14ac:dyDescent="0.25">
      <c r="B62" s="86"/>
      <c r="C62" s="86"/>
      <c r="D62" s="86"/>
      <c r="E62" s="86"/>
      <c r="F62" s="86"/>
      <c r="G62" s="86"/>
      <c r="H62" s="86"/>
      <c r="I62" s="86"/>
      <c r="J62" s="86"/>
    </row>
  </sheetData>
  <dataConsolidate link="1"/>
  <mergeCells count="41">
    <mergeCell ref="B61:E61"/>
    <mergeCell ref="G61:J61"/>
    <mergeCell ref="B56:E56"/>
    <mergeCell ref="G56:J56"/>
    <mergeCell ref="B59:E59"/>
    <mergeCell ref="G59:J59"/>
    <mergeCell ref="B60:E60"/>
    <mergeCell ref="G60:J60"/>
    <mergeCell ref="B51:E51"/>
    <mergeCell ref="G51:J51"/>
    <mergeCell ref="B52:E52"/>
    <mergeCell ref="G52:J52"/>
    <mergeCell ref="B55:E55"/>
    <mergeCell ref="G55:J55"/>
    <mergeCell ref="B41:E41"/>
    <mergeCell ref="B42:E42"/>
    <mergeCell ref="I44:J44"/>
    <mergeCell ref="B47:E47"/>
    <mergeCell ref="B50:E50"/>
    <mergeCell ref="G50:J50"/>
    <mergeCell ref="B40:E40"/>
    <mergeCell ref="B12:G12"/>
    <mergeCell ref="B14:C14"/>
    <mergeCell ref="F16:J16"/>
    <mergeCell ref="C18:D18"/>
    <mergeCell ref="H20:I20"/>
    <mergeCell ref="B22:D22"/>
    <mergeCell ref="G22:J22"/>
    <mergeCell ref="D24:F24"/>
    <mergeCell ref="D26:F26"/>
    <mergeCell ref="E28:F28"/>
    <mergeCell ref="B31:G31"/>
    <mergeCell ref="C35:E35"/>
    <mergeCell ref="B10:D10"/>
    <mergeCell ref="E10:G10"/>
    <mergeCell ref="H10:J10"/>
    <mergeCell ref="E1:J3"/>
    <mergeCell ref="I4:J4"/>
    <mergeCell ref="C6:E6"/>
    <mergeCell ref="C8:E8"/>
    <mergeCell ref="I8:J8"/>
  </mergeCells>
  <dataValidations count="5">
    <dataValidation type="list" allowBlank="1" showInputMessage="1" showErrorMessage="1" errorTitle="Invalid Error!" error="Please select from the list." promptTitle="Please select from dropdown" prompt=" " sqref="G59:J61">
      <formula1>$X$2:$X$15</formula1>
    </dataValidation>
    <dataValidation type="list" allowBlank="1" showInputMessage="1" showErrorMessage="1" errorTitle="Invalid Error!" error="Please select from the list. " promptTitle="Please select from dropdown" prompt=" " sqref="D24:F24">
      <formula1>$T$2:$T$3</formula1>
    </dataValidation>
    <dataValidation type="list" allowBlank="1" showInputMessage="1" showErrorMessage="1" errorTitle="Invalid Error!" error="Please select from the list." promptTitle="Please select from dropdown" prompt=" " sqref="E28:F28">
      <formula1>$T$2:$T$3</formula1>
    </dataValidation>
    <dataValidation type="list" allowBlank="1" showInputMessage="1" showErrorMessage="1" errorTitle="Invalid Error! " error="Please select option from list." promptTitle="Please select from dropdown" prompt=" " sqref="B55:E56">
      <formula1>$T$2:$T$11</formula1>
    </dataValidation>
    <dataValidation type="list" allowBlank="1" showInputMessage="1" showErrorMessage="1" errorTitle="Invalid Error! " error="Please select option from the list." promptTitle="Please select from dropdown" prompt=" " sqref="B50:E52">
      <formula1>$S$2:$S$13</formula1>
    </dataValidation>
  </dataValidations>
  <pageMargins left="0.7" right="0.7" top="0.5" bottom="0.75" header="0.3" footer="0.3"/>
  <pageSetup scale="81" orientation="portrait" r:id="rId1"/>
  <headerFooter>
    <oddFooter xml:space="preserve">&amp;C&amp;"-,Bold Italic"&amp;12&amp;K04-020Anticipate - Innovate - Accelerate </oddFooter>
  </headerFooter>
  <colBreaks count="1" manualBreakCount="1">
    <brk id="10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allowBlank="1" showInputMessage="1" showErrorMessage="1" errorTitle="Invalid Error!" error="Please select an option from the list." promptTitle="Please select from dropdown" prompt=" ">
          <x14:formula1>
            <xm:f>'Data validation values 2'!$D$2:$D$65</xm:f>
          </x14:formula1>
          <xm:sqref>B12:G12</xm:sqref>
        </x14:dataValidation>
        <x14:dataValidation type="list" allowBlank="1" showInputMessage="1" showErrorMessage="1" errorTitle="Invalid Error! " error="Please select option from list." promptTitle="Please select from dropdown" prompt=" ">
          <x14:formula1>
            <xm:f>'Data validation values 2'!$S$2:$S$11</xm:f>
          </x14:formula1>
          <xm:sqref>G55:J56</xm:sqref>
        </x14:dataValidation>
        <x14:dataValidation type="list" allowBlank="1" showInputMessage="1" showErrorMessage="1" errorTitle="Invalid Error! " error="Please select option from the list." promptTitle="Please select from dropdown" prompt=" ">
          <x14:formula1>
            <xm:f>'Data validation values 2'!$R$2:$R$13</xm:f>
          </x14:formula1>
          <xm:sqref>G50:J52</xm:sqref>
        </x14:dataValidation>
        <x14:dataValidation type="list" allowBlank="1" showInputMessage="1" showErrorMessage="1" errorTitle="Invalid Error!" error="Please select a division code from the list." promptTitle="Please select from dropdown" prompt=" ">
          <x14:formula1>
            <xm:f>OFFSET('Data validation values 1'!$A$1,1,MATCH($F$16,'Data validation values 1'!$A$1:$L$1,0)-1, COUNTA(OFFSET('Data validation values 1'!$A$1,1,MATCH($F$16,'Data validation values 1'!$A$1:$L$1,0)-1,40,1)),1)</xm:f>
          </x14:formula1>
          <xm:sqref>C18:D18</xm:sqref>
        </x14:dataValidation>
        <x14:dataValidation type="list" allowBlank="1" showInputMessage="1" showErrorMessage="1" errorTitle="Invalid Error!" error="Please select from the list." promptTitle="Please select from dropdown" prompt=" ">
          <x14:formula1>
            <xm:f>'Data validation values 2'!$T$2:$T$15</xm:f>
          </x14:formula1>
          <xm:sqref>B59:E61</xm:sqref>
        </x14:dataValidation>
        <x14:dataValidation type="list" allowBlank="1" showInputMessage="1" showErrorMessage="1" errorTitle="Invalid Error!" error="Please select a intern program from the list." promptTitle="Please select from dropdown" prompt=" ">
          <x14:formula1>
            <xm:f>'Data validation values 2'!$Q$2:$Q$8</xm:f>
          </x14:formula1>
          <xm:sqref>B47:E47</xm:sqref>
        </x14:dataValidation>
        <x14:dataValidation type="list" allowBlank="1" showInputMessage="1" showErrorMessage="1" errorTitle="Invalid Error! " error="Please select a decision from the list. " promptTitle="Please select from dropdown" prompt=" ">
          <x14:formula1>
            <xm:f>'Data validation values 2'!$O$2:$O$14</xm:f>
          </x14:formula1>
          <xm:sqref>B40:E42</xm:sqref>
        </x14:dataValidation>
        <x14:dataValidation type="list" allowBlank="1" showInputMessage="1" showErrorMessage="1" errorTitle="Invalid Error! " error="Please select from the list." promptTitle="Please select from dropdown" prompt=" ">
          <x14:formula1>
            <xm:f>'Data validation values 2'!$L$2:$L$15</xm:f>
          </x14:formula1>
          <xm:sqref>B31:G31</xm:sqref>
        </x14:dataValidation>
        <x14:dataValidation type="list" allowBlank="1" showInputMessage="1" showErrorMessage="1" errorTitle="Invalid Error! " error="Please select the service length from the list." promptTitle="Please select from dropdown" prompt=" ">
          <x14:formula1>
            <xm:f>'Data validation values 2'!$I$2:$I$18</xm:f>
          </x14:formula1>
          <xm:sqref>H20:I20</xm:sqref>
        </x14:dataValidation>
        <x14:dataValidation type="list" allowBlank="1" showInputMessage="1" showErrorMessage="1" errorTitle="Invalid Error!" error="Please select from the list. " promptTitle="Please select from dropdown" prompt=" ">
          <x14:formula1>
            <xm:f>'Data validation values 2'!$P$2:$P$3</xm:f>
          </x14:formula1>
          <xm:sqref>D26:F26</xm:sqref>
        </x14:dataValidation>
        <x14:dataValidation type="list" allowBlank="1" showInputMessage="1" showErrorMessage="1" errorTitle="Invalid Error! " error="Please select a BL/SL from the list." promptTitle="Please select from dropdown" prompt=" ">
          <x14:formula1>
            <xm:f>'Data validation values 1'!$A$1:$L$1</xm:f>
          </x14:formula1>
          <xm:sqref>F16:J16</xm:sqref>
        </x14:dataValidation>
        <x14:dataValidation type="list" allowBlank="1" showInputMessage="1" showErrorMessage="1" errorTitle="Invalid Error!" error="Please select a job from the list." promptTitle="Please select from dropdown" prompt=" ">
          <x14:formula1>
            <xm:f>'Data validation values 2'!$M$2:$M$24</xm:f>
          </x14:formula1>
          <xm:sqref>C35:E35</xm:sqref>
        </x14:dataValidation>
        <x14:dataValidation type="list" allowBlank="1" showInputMessage="1" showErrorMessage="1" errorTitle="Invalid Error! " error="Please select an option from the list." promptTitle="Please select from dropdown" prompt=" ">
          <x14:formula1>
            <xm:f>'Data validation values 2'!$N$2:$N$4</xm:f>
          </x14:formula1>
          <xm:sqref>G33</xm:sqref>
        </x14:dataValidation>
        <x14:dataValidation type="list" allowBlank="1" showInputMessage="1" showErrorMessage="1" errorTitle="Invalid Entry!" error="Please select a pay plan from the list." promptTitle="Please select from dropdown" prompt=" ">
          <x14:formula1>
            <xm:f>'Data validation values 2'!$B$2:$B$6</xm:f>
          </x14:formula1>
          <xm:sqref>B10</xm:sqref>
        </x14:dataValidation>
        <x14:dataValidation type="list" allowBlank="1" showInputMessage="1" showErrorMessage="1" errorTitle="Invalid Error!" error="Please select a gender from the list." promptTitle="Please select from dropdown" prompt=" ">
          <x14:formula1>
            <xm:f>'Data validation values 2'!$J$2:$J$3</xm:f>
          </x14:formula1>
          <xm:sqref>B22:D22</xm:sqref>
        </x14:dataValidation>
        <x14:dataValidation type="list" allowBlank="1" showInputMessage="1" showErrorMessage="1" errorTitle="Invalid Error!" error="Please select from the list." promptTitle="Please select from dropdown" prompt=" ">
          <x14:formula1>
            <xm:f>'Data validation values 2'!$C$2:$C$5</xm:f>
          </x14:formula1>
          <xm:sqref>H10:J10</xm:sqref>
        </x14:dataValidation>
        <x14:dataValidation type="list" allowBlank="1" showInputMessage="1" showErrorMessage="1" errorTitle="Invalid Error!" error="Please select a race from the list." promptTitle="Please select from dropdown" prompt=" ">
          <x14:formula1>
            <xm:f>'Data validation values 2'!$K$2:$K$7</xm:f>
          </x14:formula1>
          <xm:sqref>G22:J22</xm:sqref>
        </x14:dataValidation>
        <x14:dataValidation type="list" allowBlank="1" showInputMessage="1" showErrorMessage="1" errorTitle="Invalid Error! " error="Please select an option from the list." promptTitle="Please select from dropdown" prompt=" ">
          <x14:formula1>
            <xm:f>'Data validation values 2'!$P$2:$P$3</xm:f>
          </x14:formula1>
          <xm:sqref>F37</xm:sqref>
        </x14:dataValidation>
        <x14:dataValidation type="list" allowBlank="1" showInputMessage="1" showErrorMessage="1" errorTitle="Invalid Error!" error="Please select from the list." promptTitle="Please select from dropdown" prompt=" ">
          <x14:formula1>
            <xm:f>'Data validation values 2'!$P$2:$P$3</xm:f>
          </x14:formula1>
          <xm:sqref>I44:J44</xm:sqref>
        </x14:dataValidation>
        <x14:dataValidation type="list" allowBlank="1" showInputMessage="1" showErrorMessage="1" errorTitle="Invalid Entry! " error="Please select a pay grade from the list." promptTitle=" Please select from dropdown" prompt=" ">
          <x14:formula1>
            <xm:f>'Data validation values 2'!$E$2:$E$17</xm:f>
          </x14:formula1>
          <xm:sqref>B14:C14</xm:sqref>
        </x14:dataValidation>
        <x14:dataValidation type="list" allowBlank="1" showInputMessage="1" showErrorMessage="1" errorTitle="Invalid Entry!" error="Please select a UIC from the list." promptTitle="Please select from dropdown" prompt=" ">
          <x14:formula1>
            <xm:f>'Data validation values 2'!$F$2:$F$4</xm:f>
          </x14:formula1>
          <xm:sqref>H14</xm:sqref>
        </x14:dataValidation>
        <x14:dataValidation type="date" allowBlank="1" showInputMessage="1" showErrorMessage="1" errorTitle="Invalid Error!" error="Please enter a value between 1/1/1970 - 12/31/2050." promptTitle="Date format" prompt="MM/DD/YYYY_x000a_">
          <x14:formula1>
            <xm:f>'Data validation values 2'!XEV2</xm:f>
          </x14:formula1>
          <x14:formula2>
            <xm:f>'Data validation values 2'!XEV3</xm:f>
          </x14:formula2>
          <xm:sqref>C8:E8</xm:sqref>
        </x14:dataValidation>
        <x14:dataValidation type="date" allowBlank="1" showInputMessage="1" showErrorMessage="1" errorTitle="Invalid Error!" error="Please enter a value between 1/1/1970 - 12/31/2050." promptTitle="Date format" prompt="MM/DD/YYYY">
          <x14:formula1>
            <xm:f>'Data validation values 2'!A2</xm:f>
          </x14:formula1>
          <x14:formula2>
            <xm:f>'Data validation values 2'!A3</xm:f>
          </x14:formula2>
          <xm:sqref>I8:J8</xm:sqref>
        </x14:dataValidation>
        <x14:dataValidation type="date" allowBlank="1" showInputMessage="1" showErrorMessage="1" errorTitle="Invalid Error!" error="Please enter a date from 1/1/1970 - 12/31/2050." promptTitle="Date format" prompt="MM/DD/YYYY">
          <x14:formula1>
            <xm:f>'Data validation values 2'!E1048574</xm:f>
          </x14:formula1>
          <x14:formula2>
            <xm:f>'Data validation values 2'!E1048575</xm:f>
          </x14:formula2>
          <xm:sqref>I4:J4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XFC137"/>
  <sheetViews>
    <sheetView tabSelected="1" view="pageLayout" zoomScale="145" zoomScaleNormal="175" zoomScaleSheetLayoutView="175" zoomScalePageLayoutView="145" workbookViewId="0">
      <selection activeCell="H12" sqref="H12"/>
    </sheetView>
  </sheetViews>
  <sheetFormatPr defaultColWidth="0" defaultRowHeight="15" zeroHeight="1" x14ac:dyDescent="0.25"/>
  <cols>
    <col min="1" max="1" width="13" style="26" customWidth="1"/>
    <col min="2" max="2" width="11.28515625" style="13" customWidth="1"/>
    <col min="3" max="3" width="5.140625" style="13" customWidth="1"/>
    <col min="4" max="4" width="12" style="13" customWidth="1"/>
    <col min="5" max="5" width="11.7109375" style="13" customWidth="1"/>
    <col min="6" max="6" width="11" style="13" customWidth="1"/>
    <col min="7" max="7" width="12.28515625" style="13" customWidth="1"/>
    <col min="8" max="8" width="10.5703125" style="13" customWidth="1"/>
    <col min="9" max="9" width="9.85546875" style="13" customWidth="1"/>
    <col min="10" max="10" width="11.140625" style="13" customWidth="1"/>
    <col min="11" max="11" width="0.42578125" style="3" customWidth="1"/>
    <col min="12" max="16383" width="9.140625" style="3" hidden="1"/>
    <col min="16384" max="16384" width="3.28515625" style="3" hidden="1"/>
  </cols>
  <sheetData>
    <row r="1" spans="1:14" ht="20.25" customHeight="1" x14ac:dyDescent="0.25">
      <c r="A1" s="9">
        <f>'Employee Survey'!G1</f>
        <v>0</v>
      </c>
      <c r="B1" s="9"/>
      <c r="C1" s="29" t="s">
        <v>369</v>
      </c>
      <c r="D1" s="29"/>
      <c r="E1" s="99" t="s">
        <v>370</v>
      </c>
      <c r="F1" s="99"/>
      <c r="G1" s="99"/>
      <c r="H1" s="99"/>
      <c r="I1" s="99"/>
      <c r="J1" s="99"/>
      <c r="K1" s="4"/>
      <c r="L1" s="4"/>
      <c r="M1" s="4"/>
      <c r="N1" s="4"/>
    </row>
    <row r="2" spans="1:14" ht="20.25" customHeight="1" x14ac:dyDescent="0.25">
      <c r="A2" s="9"/>
      <c r="B2" s="9"/>
      <c r="C2" s="29"/>
      <c r="D2" s="29"/>
      <c r="E2" s="99"/>
      <c r="F2" s="99"/>
      <c r="G2" s="99"/>
      <c r="H2" s="99"/>
      <c r="I2" s="99"/>
      <c r="J2" s="99"/>
      <c r="K2" s="4"/>
      <c r="L2" s="4"/>
      <c r="M2" s="4"/>
      <c r="N2" s="4"/>
    </row>
    <row r="3" spans="1:14" ht="16.5" customHeight="1" thickBot="1" x14ac:dyDescent="0.3">
      <c r="A3" s="10"/>
      <c r="B3" s="10"/>
      <c r="C3" s="30"/>
      <c r="D3" s="30"/>
      <c r="E3" s="103"/>
      <c r="F3" s="103"/>
      <c r="G3" s="103"/>
      <c r="H3" s="103"/>
      <c r="I3" s="103"/>
      <c r="J3" s="103"/>
      <c r="K3" s="4"/>
      <c r="L3" s="4"/>
      <c r="M3" s="4"/>
      <c r="N3" s="4"/>
    </row>
    <row r="4" spans="1:14" ht="14.1" customHeight="1" x14ac:dyDescent="0.4">
      <c r="A4" s="23" t="s">
        <v>373</v>
      </c>
      <c r="B4" s="11"/>
      <c r="C4" s="11"/>
      <c r="D4" s="11"/>
      <c r="E4" s="11"/>
      <c r="F4" s="11"/>
      <c r="G4" s="11"/>
      <c r="H4" s="12" t="s">
        <v>374</v>
      </c>
      <c r="I4" s="129"/>
      <c r="J4" s="130"/>
    </row>
    <row r="5" spans="1:14" ht="14.1" customHeight="1" x14ac:dyDescent="0.4">
      <c r="A5" s="23"/>
      <c r="B5" s="11"/>
      <c r="C5" s="11"/>
      <c r="D5" s="11"/>
      <c r="E5" s="11"/>
      <c r="F5" s="11"/>
      <c r="G5" s="11"/>
      <c r="J5" s="14"/>
    </row>
    <row r="6" spans="1:14" ht="14.1" customHeight="1" x14ac:dyDescent="0.25">
      <c r="A6" s="23" t="s">
        <v>376</v>
      </c>
      <c r="B6" s="15"/>
      <c r="C6" s="107"/>
      <c r="D6" s="108"/>
      <c r="E6" s="109"/>
    </row>
    <row r="7" spans="1:14" ht="14.1" customHeight="1" x14ac:dyDescent="0.4">
      <c r="A7" s="24"/>
      <c r="B7" s="11"/>
      <c r="C7" s="11"/>
      <c r="F7" s="11"/>
      <c r="G7" s="11"/>
      <c r="H7" s="11"/>
    </row>
    <row r="8" spans="1:14" ht="14.1" customHeight="1" x14ac:dyDescent="0.25">
      <c r="A8" s="25" t="s">
        <v>377</v>
      </c>
      <c r="B8" s="14"/>
      <c r="C8" s="131"/>
      <c r="D8" s="133"/>
      <c r="E8" s="132"/>
      <c r="F8" s="22"/>
      <c r="H8" s="38" t="s">
        <v>394</v>
      </c>
      <c r="I8" s="131"/>
      <c r="J8" s="132"/>
    </row>
    <row r="9" spans="1:14" ht="14.1" customHeight="1" x14ac:dyDescent="0.25"/>
    <row r="10" spans="1:14" ht="14.1" customHeight="1" x14ac:dyDescent="0.25">
      <c r="A10" s="26" t="s">
        <v>375</v>
      </c>
      <c r="B10" s="107"/>
      <c r="C10" s="108"/>
      <c r="D10" s="109"/>
      <c r="E10" s="137"/>
      <c r="F10" s="137"/>
      <c r="G10" s="98"/>
      <c r="H10" s="86"/>
      <c r="I10" s="3"/>
      <c r="J10" s="3"/>
    </row>
    <row r="11" spans="1:14" ht="14.1" customHeight="1" x14ac:dyDescent="0.25">
      <c r="B11" s="90"/>
      <c r="C11" s="90"/>
      <c r="D11" s="89"/>
      <c r="E11" s="3"/>
      <c r="F11" s="3"/>
      <c r="G11" s="3"/>
      <c r="H11" s="3"/>
      <c r="I11" s="3"/>
      <c r="J11" s="3"/>
    </row>
    <row r="12" spans="1:14" ht="14.1" customHeight="1" x14ac:dyDescent="0.25">
      <c r="A12" s="26" t="s">
        <v>458</v>
      </c>
      <c r="B12" s="26"/>
      <c r="C12" s="107"/>
      <c r="D12" s="108"/>
      <c r="E12" s="109"/>
      <c r="F12" s="3"/>
      <c r="G12" s="3"/>
      <c r="H12" s="3"/>
      <c r="I12" s="3"/>
      <c r="J12" s="3"/>
    </row>
    <row r="13" spans="1:14" ht="14.1" customHeight="1" x14ac:dyDescent="0.25">
      <c r="H13" s="3"/>
      <c r="I13" s="3"/>
      <c r="J13" s="3"/>
    </row>
    <row r="14" spans="1:14" ht="14.1" customHeight="1" x14ac:dyDescent="0.25">
      <c r="A14" s="26" t="s">
        <v>378</v>
      </c>
      <c r="B14" s="107"/>
      <c r="C14" s="108"/>
      <c r="D14" s="108"/>
      <c r="E14" s="108"/>
      <c r="F14" s="108"/>
      <c r="G14" s="109"/>
    </row>
    <row r="15" spans="1:14" ht="14.1" customHeight="1" x14ac:dyDescent="0.25">
      <c r="M15" s="6"/>
    </row>
    <row r="16" spans="1:14" ht="14.1" customHeight="1" x14ac:dyDescent="0.25">
      <c r="A16" s="26" t="s">
        <v>379</v>
      </c>
      <c r="B16" s="104"/>
      <c r="C16" s="106"/>
      <c r="I16" s="3"/>
      <c r="J16" s="3"/>
      <c r="K16" s="6"/>
    </row>
    <row r="17" spans="1:10" ht="14.1" customHeight="1" x14ac:dyDescent="0.25">
      <c r="H17" s="3"/>
      <c r="I17" s="3"/>
      <c r="J17" s="6"/>
    </row>
    <row r="18" spans="1:10" ht="14.1" customHeight="1" x14ac:dyDescent="0.25">
      <c r="A18" s="13" t="s">
        <v>459</v>
      </c>
      <c r="B18" s="104"/>
      <c r="C18" s="106"/>
      <c r="H18" s="3"/>
      <c r="I18" s="3"/>
      <c r="J18" s="6"/>
    </row>
    <row r="19" spans="1:10" ht="14.1" customHeight="1" x14ac:dyDescent="0.25"/>
    <row r="20" spans="1:10" ht="14.1" customHeight="1" x14ac:dyDescent="0.25">
      <c r="A20" s="26" t="s">
        <v>358</v>
      </c>
      <c r="F20" s="104"/>
      <c r="G20" s="105"/>
      <c r="H20" s="105"/>
      <c r="I20" s="105"/>
      <c r="J20" s="106"/>
    </row>
    <row r="21" spans="1:10" ht="14.1" customHeight="1" x14ac:dyDescent="0.25"/>
    <row r="22" spans="1:10" ht="14.1" customHeight="1" x14ac:dyDescent="0.25">
      <c r="A22" s="26" t="s">
        <v>380</v>
      </c>
      <c r="C22" s="104"/>
      <c r="D22" s="106"/>
      <c r="J22" s="20"/>
    </row>
    <row r="23" spans="1:10" ht="14.1" customHeight="1" x14ac:dyDescent="0.25">
      <c r="H23" s="20"/>
      <c r="I23" s="21"/>
      <c r="J23" s="20"/>
    </row>
    <row r="24" spans="1:10" ht="14.1" customHeight="1" x14ac:dyDescent="0.25">
      <c r="A24" s="26" t="s">
        <v>383</v>
      </c>
      <c r="C24" s="37"/>
      <c r="H24" s="104"/>
      <c r="I24" s="106"/>
      <c r="J24" s="20"/>
    </row>
    <row r="25" spans="1:10" ht="14.1" customHeight="1" x14ac:dyDescent="0.25">
      <c r="H25" s="20"/>
      <c r="I25" s="20"/>
      <c r="J25" s="20"/>
    </row>
    <row r="26" spans="1:10" ht="14.1" customHeight="1" x14ac:dyDescent="0.25">
      <c r="A26" s="26" t="s">
        <v>381</v>
      </c>
      <c r="B26" s="104"/>
      <c r="C26" s="105"/>
      <c r="D26" s="106"/>
      <c r="F26" s="16" t="s">
        <v>382</v>
      </c>
      <c r="G26" s="104"/>
      <c r="H26" s="105"/>
      <c r="I26" s="105"/>
      <c r="J26" s="106"/>
    </row>
    <row r="27" spans="1:10" ht="14.1" customHeight="1" x14ac:dyDescent="0.25"/>
    <row r="28" spans="1:10" ht="14.1" customHeight="1" x14ac:dyDescent="0.25">
      <c r="A28" s="27" t="s">
        <v>384</v>
      </c>
      <c r="D28" s="104"/>
      <c r="E28" s="105"/>
      <c r="F28" s="106"/>
    </row>
    <row r="29" spans="1:10" ht="14.1" customHeight="1" x14ac:dyDescent="0.25"/>
    <row r="30" spans="1:10" ht="14.1" customHeight="1" x14ac:dyDescent="0.25">
      <c r="A30" s="26" t="s">
        <v>385</v>
      </c>
      <c r="D30" s="104"/>
      <c r="E30" s="105"/>
      <c r="F30" s="106"/>
    </row>
    <row r="31" spans="1:10" ht="14.1" customHeight="1" x14ac:dyDescent="0.25"/>
    <row r="32" spans="1:10" ht="14.1" customHeight="1" x14ac:dyDescent="0.25">
      <c r="A32" s="22" t="s">
        <v>386</v>
      </c>
      <c r="E32" s="104"/>
      <c r="F32" s="106"/>
    </row>
    <row r="33" spans="1:10" ht="14.1" customHeight="1" x14ac:dyDescent="0.25"/>
    <row r="34" spans="1:10" ht="14.1" customHeight="1" x14ac:dyDescent="0.25">
      <c r="A34" s="26" t="s">
        <v>387</v>
      </c>
    </row>
    <row r="35" spans="1:10" ht="14.1" customHeight="1" x14ac:dyDescent="0.25">
      <c r="B35" s="104"/>
      <c r="C35" s="105"/>
      <c r="D35" s="105"/>
      <c r="E35" s="105"/>
      <c r="F35" s="105"/>
      <c r="G35" s="106"/>
    </row>
    <row r="36" spans="1:10" ht="14.1" customHeight="1" x14ac:dyDescent="0.25"/>
    <row r="37" spans="1:10" ht="14.1" customHeight="1" x14ac:dyDescent="0.25">
      <c r="A37" s="26" t="s">
        <v>460</v>
      </c>
      <c r="G37" s="8"/>
      <c r="J37" s="3"/>
    </row>
    <row r="38" spans="1:10" ht="14.1" customHeight="1" x14ac:dyDescent="0.25">
      <c r="J38" s="3"/>
    </row>
    <row r="39" spans="1:10" ht="14.1" customHeight="1" x14ac:dyDescent="0.25">
      <c r="A39" s="26" t="s">
        <v>395</v>
      </c>
      <c r="C39" s="104"/>
      <c r="D39" s="105"/>
      <c r="E39" s="106"/>
      <c r="I39" s="3"/>
    </row>
    <row r="40" spans="1:10" ht="14.1" customHeight="1" x14ac:dyDescent="0.25"/>
    <row r="41" spans="1:10" ht="14.1" customHeight="1" x14ac:dyDescent="0.25">
      <c r="A41" s="26" t="s">
        <v>396</v>
      </c>
      <c r="F41" s="8"/>
    </row>
    <row r="42" spans="1:10" ht="14.1" customHeight="1" x14ac:dyDescent="0.25">
      <c r="H42" s="3"/>
      <c r="I42" s="3"/>
      <c r="J42" s="3"/>
    </row>
    <row r="43" spans="1:10" ht="14.1" customHeight="1" x14ac:dyDescent="0.25">
      <c r="A43" s="26" t="s">
        <v>461</v>
      </c>
    </row>
    <row r="44" spans="1:10" ht="14.1" customHeight="1" x14ac:dyDescent="0.25">
      <c r="A44" s="17" t="s">
        <v>44</v>
      </c>
      <c r="B44" s="104"/>
      <c r="C44" s="105"/>
      <c r="D44" s="105"/>
      <c r="E44" s="106"/>
    </row>
    <row r="45" spans="1:10" ht="14.1" customHeight="1" x14ac:dyDescent="0.25">
      <c r="A45" s="17" t="s">
        <v>45</v>
      </c>
      <c r="B45" s="104"/>
      <c r="C45" s="105"/>
      <c r="D45" s="105"/>
      <c r="E45" s="106"/>
    </row>
    <row r="46" spans="1:10" ht="14.1" customHeight="1" x14ac:dyDescent="0.25">
      <c r="A46" s="17" t="s">
        <v>46</v>
      </c>
      <c r="B46" s="104"/>
      <c r="C46" s="105"/>
      <c r="D46" s="105"/>
      <c r="E46" s="106"/>
      <c r="H46" s="3"/>
      <c r="I46" s="3"/>
    </row>
    <row r="47" spans="1:10" ht="14.1" customHeight="1" x14ac:dyDescent="0.25"/>
    <row r="48" spans="1:10" ht="14.1" customHeight="1" x14ac:dyDescent="0.25">
      <c r="A48" s="26" t="s">
        <v>388</v>
      </c>
      <c r="H48" s="104"/>
      <c r="I48" s="106"/>
      <c r="J48" s="3"/>
    </row>
    <row r="49" spans="1:10" ht="14.1" customHeight="1" x14ac:dyDescent="0.25"/>
    <row r="50" spans="1:10" ht="14.1" customHeight="1" x14ac:dyDescent="0.25">
      <c r="A50" s="26" t="s">
        <v>389</v>
      </c>
    </row>
    <row r="51" spans="1:10" ht="14.1" customHeight="1" x14ac:dyDescent="0.25">
      <c r="B51" s="104"/>
      <c r="C51" s="105"/>
      <c r="D51" s="105"/>
      <c r="E51" s="106"/>
    </row>
    <row r="52" spans="1:10" ht="14.1" customHeight="1" x14ac:dyDescent="0.25"/>
    <row r="53" spans="1:10" ht="14.1" customHeight="1" x14ac:dyDescent="0.25">
      <c r="A53" s="26" t="s">
        <v>462</v>
      </c>
    </row>
    <row r="54" spans="1:10" ht="14.1" customHeight="1" x14ac:dyDescent="0.25">
      <c r="A54" s="17" t="s">
        <v>44</v>
      </c>
      <c r="B54" s="104"/>
      <c r="C54" s="105"/>
      <c r="D54" s="105"/>
      <c r="E54" s="106"/>
      <c r="F54" s="17"/>
    </row>
    <row r="55" spans="1:10" ht="14.1" customHeight="1" x14ac:dyDescent="0.25">
      <c r="A55" s="17" t="s">
        <v>45</v>
      </c>
      <c r="B55" s="104"/>
      <c r="C55" s="105"/>
      <c r="D55" s="105"/>
      <c r="E55" s="106"/>
      <c r="F55" s="17"/>
    </row>
    <row r="56" spans="1:10" ht="14.1" customHeight="1" x14ac:dyDescent="0.25">
      <c r="A56" s="17" t="s">
        <v>46</v>
      </c>
      <c r="B56" s="104"/>
      <c r="C56" s="105"/>
      <c r="D56" s="105"/>
      <c r="E56" s="106"/>
      <c r="F56" s="17"/>
    </row>
    <row r="57" spans="1:10" ht="14.1" customHeight="1" x14ac:dyDescent="0.25"/>
    <row r="58" spans="1:10" ht="14.1" customHeight="1" x14ac:dyDescent="0.25">
      <c r="A58" s="26" t="s">
        <v>463</v>
      </c>
    </row>
    <row r="59" spans="1:10" ht="14.1" customHeight="1" x14ac:dyDescent="0.25">
      <c r="A59" s="17"/>
      <c r="B59" s="104"/>
      <c r="C59" s="105"/>
      <c r="D59" s="105"/>
      <c r="E59" s="106"/>
      <c r="G59" s="3"/>
      <c r="H59" s="3"/>
      <c r="I59" s="3"/>
      <c r="J59" s="3"/>
    </row>
    <row r="60" spans="1:10" ht="14.1" customHeight="1" x14ac:dyDescent="0.25">
      <c r="A60" s="17"/>
      <c r="B60" s="104"/>
      <c r="C60" s="105"/>
      <c r="D60" s="105"/>
      <c r="E60" s="106"/>
    </row>
    <row r="61" spans="1:10" ht="14.1" customHeight="1" x14ac:dyDescent="0.25">
      <c r="A61" s="17"/>
      <c r="B61" s="104"/>
      <c r="C61" s="105"/>
      <c r="D61" s="105"/>
      <c r="E61" s="106"/>
    </row>
    <row r="62" spans="1:10" ht="14.1" customHeight="1" x14ac:dyDescent="0.25">
      <c r="A62" s="17"/>
      <c r="G62" s="3"/>
      <c r="H62" s="3"/>
      <c r="I62" s="3"/>
      <c r="J62" s="3"/>
    </row>
    <row r="63" spans="1:10" ht="12.75" customHeight="1" x14ac:dyDescent="0.25">
      <c r="A63" s="26" t="s">
        <v>464</v>
      </c>
    </row>
    <row r="64" spans="1:10" ht="14.1" customHeight="1" x14ac:dyDescent="0.25">
      <c r="A64" s="17" t="s">
        <v>44</v>
      </c>
      <c r="B64" s="134"/>
      <c r="C64" s="135"/>
      <c r="D64" s="135"/>
      <c r="E64" s="136"/>
    </row>
    <row r="65" spans="1:10" ht="14.1" customHeight="1" x14ac:dyDescent="0.25">
      <c r="A65" s="17" t="s">
        <v>45</v>
      </c>
      <c r="B65" s="134"/>
      <c r="C65" s="135"/>
      <c r="D65" s="135"/>
      <c r="E65" s="136"/>
    </row>
    <row r="66" spans="1:10" ht="14.1" customHeight="1" x14ac:dyDescent="0.25">
      <c r="A66" s="17" t="s">
        <v>46</v>
      </c>
      <c r="B66" s="134"/>
      <c r="C66" s="135"/>
      <c r="D66" s="135"/>
      <c r="E66" s="136"/>
    </row>
    <row r="67" spans="1:10" ht="14.1" customHeight="1" x14ac:dyDescent="0.25">
      <c r="B67" s="3"/>
      <c r="C67" s="3"/>
      <c r="D67" s="3"/>
      <c r="E67" s="3"/>
      <c r="F67" s="3"/>
      <c r="G67" s="3"/>
      <c r="H67" s="3"/>
      <c r="I67" s="3"/>
      <c r="J67" s="3"/>
    </row>
    <row r="68" spans="1:10" ht="14.1" customHeight="1" x14ac:dyDescent="0.25">
      <c r="A68" s="26" t="s">
        <v>467</v>
      </c>
      <c r="I68" s="18"/>
    </row>
    <row r="69" spans="1:10" ht="14.1" customHeight="1" x14ac:dyDescent="0.25">
      <c r="A69" s="17" t="s">
        <v>44</v>
      </c>
      <c r="B69" s="104"/>
      <c r="C69" s="105"/>
      <c r="D69" s="105"/>
      <c r="E69" s="106"/>
      <c r="G69" s="3"/>
      <c r="H69" s="3"/>
      <c r="I69" s="3"/>
      <c r="J69" s="3"/>
    </row>
    <row r="70" spans="1:10" ht="14.1" customHeight="1" x14ac:dyDescent="0.25">
      <c r="A70" s="17" t="s">
        <v>45</v>
      </c>
      <c r="B70" s="104"/>
      <c r="C70" s="105"/>
      <c r="D70" s="105"/>
      <c r="E70" s="106"/>
      <c r="G70" s="3"/>
      <c r="H70" s="3"/>
      <c r="I70" s="3"/>
      <c r="J70" s="3"/>
    </row>
    <row r="71" spans="1:10" ht="14.1" customHeight="1" x14ac:dyDescent="0.25">
      <c r="A71" s="17" t="s">
        <v>46</v>
      </c>
      <c r="B71" s="104"/>
      <c r="C71" s="105"/>
      <c r="D71" s="105"/>
      <c r="E71" s="106"/>
      <c r="G71" s="3"/>
      <c r="H71" s="3"/>
      <c r="I71" s="3"/>
      <c r="J71" s="3"/>
    </row>
    <row r="72" spans="1:10" ht="14.1" customHeight="1" x14ac:dyDescent="0.25"/>
    <row r="73" spans="1:10" ht="14.1" customHeight="1" x14ac:dyDescent="0.25">
      <c r="A73" s="26" t="s">
        <v>390</v>
      </c>
      <c r="E73" s="104"/>
      <c r="F73" s="105"/>
      <c r="G73" s="106"/>
    </row>
    <row r="74" spans="1:10" ht="14.1" customHeight="1" x14ac:dyDescent="0.25"/>
    <row r="75" spans="1:10" ht="14.1" customHeight="1" x14ac:dyDescent="0.25">
      <c r="A75" s="26" t="s">
        <v>391</v>
      </c>
      <c r="E75" s="104"/>
      <c r="F75" s="105"/>
      <c r="G75" s="106"/>
    </row>
    <row r="76" spans="1:10" ht="14.1" customHeight="1" x14ac:dyDescent="0.25"/>
    <row r="77" spans="1:10" ht="14.1" customHeight="1" x14ac:dyDescent="0.25">
      <c r="A77" s="26" t="s">
        <v>392</v>
      </c>
      <c r="E77" s="104"/>
      <c r="F77" s="105"/>
      <c r="G77" s="106"/>
    </row>
    <row r="78" spans="1:10" ht="14.1" customHeight="1" x14ac:dyDescent="0.25"/>
    <row r="79" spans="1:10" ht="14.1" customHeight="1" x14ac:dyDescent="0.25">
      <c r="A79" s="26" t="s">
        <v>393</v>
      </c>
      <c r="E79" s="104"/>
      <c r="F79" s="105"/>
      <c r="G79" s="106"/>
    </row>
    <row r="80" spans="1:10" ht="14.1" customHeight="1" x14ac:dyDescent="0.25"/>
    <row r="81" spans="1:12" ht="14.1" customHeight="1" x14ac:dyDescent="0.25">
      <c r="A81" s="26" t="s">
        <v>465</v>
      </c>
    </row>
    <row r="82" spans="1:12" ht="14.1" customHeight="1" x14ac:dyDescent="0.25">
      <c r="A82" s="17" t="s">
        <v>44</v>
      </c>
      <c r="B82" s="104"/>
      <c r="C82" s="105"/>
      <c r="D82" s="105"/>
      <c r="E82" s="106"/>
      <c r="G82" s="3"/>
      <c r="H82" s="3"/>
      <c r="I82" s="3"/>
      <c r="J82" s="3"/>
    </row>
    <row r="83" spans="1:12" ht="14.1" customHeight="1" x14ac:dyDescent="0.25">
      <c r="A83" s="17" t="s">
        <v>45</v>
      </c>
      <c r="B83" s="104"/>
      <c r="C83" s="105"/>
      <c r="D83" s="105"/>
      <c r="E83" s="106"/>
      <c r="G83" s="3"/>
      <c r="H83" s="3"/>
      <c r="I83" s="3"/>
      <c r="J83" s="3"/>
    </row>
    <row r="84" spans="1:12" ht="14.1" customHeight="1" x14ac:dyDescent="0.25">
      <c r="A84" s="17" t="s">
        <v>46</v>
      </c>
      <c r="B84" s="104"/>
      <c r="C84" s="105"/>
      <c r="D84" s="105"/>
      <c r="E84" s="106"/>
      <c r="G84" s="3"/>
      <c r="H84" s="3"/>
      <c r="I84" s="3"/>
      <c r="J84" s="3"/>
    </row>
    <row r="85" spans="1:12" ht="14.1" customHeight="1" x14ac:dyDescent="0.25"/>
    <row r="86" spans="1:12" ht="14.1" customHeight="1" x14ac:dyDescent="0.25">
      <c r="A86" s="26" t="s">
        <v>489</v>
      </c>
      <c r="G86" s="104"/>
      <c r="H86" s="106"/>
    </row>
    <row r="87" spans="1:12" ht="14.1" customHeight="1" x14ac:dyDescent="0.25"/>
    <row r="88" spans="1:12" ht="14.1" customHeight="1" x14ac:dyDescent="0.25">
      <c r="A88" s="26" t="s">
        <v>490</v>
      </c>
      <c r="G88" s="104"/>
      <c r="H88" s="106"/>
    </row>
    <row r="89" spans="1:12" ht="14.1" customHeight="1" x14ac:dyDescent="0.25"/>
    <row r="90" spans="1:12" ht="14.1" customHeight="1" x14ac:dyDescent="0.25">
      <c r="A90" s="26" t="s">
        <v>491</v>
      </c>
      <c r="G90" s="104"/>
      <c r="H90" s="106"/>
    </row>
    <row r="91" spans="1:12" ht="14.1" customHeight="1" x14ac:dyDescent="0.25"/>
    <row r="92" spans="1:12" ht="14.1" customHeight="1" x14ac:dyDescent="0.25">
      <c r="A92" s="26" t="s">
        <v>492</v>
      </c>
      <c r="G92" s="104"/>
      <c r="H92" s="106"/>
    </row>
    <row r="93" spans="1:12" ht="14.1" customHeight="1" x14ac:dyDescent="0.25"/>
    <row r="94" spans="1:12" ht="14.1" customHeight="1" x14ac:dyDescent="0.25">
      <c r="A94" s="26" t="s">
        <v>493</v>
      </c>
    </row>
    <row r="95" spans="1:12" ht="14.1" customHeight="1" x14ac:dyDescent="0.25">
      <c r="A95" s="110"/>
      <c r="B95" s="111"/>
      <c r="C95" s="111"/>
      <c r="D95" s="111"/>
      <c r="E95" s="111"/>
      <c r="F95" s="111"/>
      <c r="G95" s="111"/>
      <c r="H95" s="111"/>
      <c r="I95" s="111"/>
      <c r="J95" s="112"/>
      <c r="K95" s="5"/>
      <c r="L95" s="5"/>
    </row>
    <row r="96" spans="1:12" ht="14.1" customHeight="1" x14ac:dyDescent="0.25">
      <c r="A96" s="113"/>
      <c r="B96" s="114"/>
      <c r="C96" s="114"/>
      <c r="D96" s="114"/>
      <c r="E96" s="114"/>
      <c r="F96" s="114"/>
      <c r="G96" s="114"/>
      <c r="H96" s="114"/>
      <c r="I96" s="114"/>
      <c r="J96" s="115"/>
      <c r="K96" s="5"/>
      <c r="L96" s="5"/>
    </row>
    <row r="97" spans="1:12" ht="14.1" customHeight="1" x14ac:dyDescent="0.25">
      <c r="A97" s="113"/>
      <c r="B97" s="114"/>
      <c r="C97" s="114"/>
      <c r="D97" s="114"/>
      <c r="E97" s="114"/>
      <c r="F97" s="114"/>
      <c r="G97" s="114"/>
      <c r="H97" s="114"/>
      <c r="I97" s="114"/>
      <c r="J97" s="115"/>
      <c r="K97" s="5"/>
      <c r="L97" s="5"/>
    </row>
    <row r="98" spans="1:12" ht="14.1" customHeight="1" x14ac:dyDescent="0.25">
      <c r="A98" s="113"/>
      <c r="B98" s="114"/>
      <c r="C98" s="114"/>
      <c r="D98" s="114"/>
      <c r="E98" s="114"/>
      <c r="F98" s="114"/>
      <c r="G98" s="114"/>
      <c r="H98" s="114"/>
      <c r="I98" s="114"/>
      <c r="J98" s="115"/>
      <c r="K98" s="5"/>
      <c r="L98" s="5"/>
    </row>
    <row r="99" spans="1:12" ht="14.1" customHeight="1" x14ac:dyDescent="0.25">
      <c r="A99" s="116"/>
      <c r="B99" s="117"/>
      <c r="C99" s="117"/>
      <c r="D99" s="117"/>
      <c r="E99" s="117"/>
      <c r="F99" s="117"/>
      <c r="G99" s="117"/>
      <c r="H99" s="117"/>
      <c r="I99" s="117"/>
      <c r="J99" s="118"/>
      <c r="K99" s="5"/>
      <c r="L99" s="5"/>
    </row>
    <row r="100" spans="1:12" ht="14.1" customHeight="1" x14ac:dyDescent="0.25">
      <c r="A100" s="28"/>
      <c r="B100" s="19"/>
      <c r="C100" s="19"/>
      <c r="D100" s="19"/>
      <c r="E100" s="19"/>
      <c r="F100" s="19"/>
      <c r="G100" s="19"/>
      <c r="H100" s="19"/>
      <c r="I100" s="19"/>
      <c r="J100" s="19"/>
      <c r="K100" s="2"/>
      <c r="L100" s="2"/>
    </row>
    <row r="101" spans="1:12" ht="14.1" customHeight="1" x14ac:dyDescent="0.25">
      <c r="A101" s="26" t="s">
        <v>494</v>
      </c>
      <c r="G101" s="104"/>
      <c r="H101" s="105"/>
      <c r="I101" s="105"/>
      <c r="J101" s="106"/>
    </row>
    <row r="102" spans="1:12" ht="14.1" customHeight="1" x14ac:dyDescent="0.25"/>
    <row r="103" spans="1:12" ht="14.1" customHeight="1" x14ac:dyDescent="0.25">
      <c r="A103" s="26" t="s">
        <v>495</v>
      </c>
      <c r="G103" s="104"/>
      <c r="H103" s="105"/>
      <c r="I103" s="105"/>
      <c r="J103" s="106"/>
    </row>
    <row r="104" spans="1:12" ht="14.1" customHeight="1" x14ac:dyDescent="0.25"/>
    <row r="105" spans="1:12" ht="14.1" customHeight="1" x14ac:dyDescent="0.25">
      <c r="A105" s="26" t="s">
        <v>496</v>
      </c>
      <c r="B105" s="26"/>
      <c r="C105" s="26"/>
      <c r="D105" s="26"/>
      <c r="E105" s="26"/>
      <c r="F105" s="26"/>
      <c r="G105" s="26"/>
      <c r="H105" s="26"/>
      <c r="I105" s="26"/>
      <c r="J105" s="26"/>
    </row>
    <row r="106" spans="1:12" ht="14.1" customHeight="1" x14ac:dyDescent="0.25">
      <c r="A106" s="119"/>
      <c r="B106" s="120"/>
      <c r="C106" s="120"/>
      <c r="D106" s="120"/>
      <c r="E106" s="120"/>
      <c r="F106" s="120"/>
      <c r="G106" s="120"/>
      <c r="H106" s="120"/>
      <c r="I106" s="120"/>
      <c r="J106" s="121"/>
    </row>
    <row r="107" spans="1:12" ht="14.1" customHeight="1" x14ac:dyDescent="0.25">
      <c r="A107" s="122"/>
      <c r="B107" s="123"/>
      <c r="C107" s="123"/>
      <c r="D107" s="123"/>
      <c r="E107" s="123"/>
      <c r="F107" s="123"/>
      <c r="G107" s="123"/>
      <c r="H107" s="123"/>
      <c r="I107" s="123"/>
      <c r="J107" s="124"/>
    </row>
    <row r="108" spans="1:12" ht="14.1" customHeight="1" x14ac:dyDescent="0.25">
      <c r="A108" s="122"/>
      <c r="B108" s="123"/>
      <c r="C108" s="123"/>
      <c r="D108" s="123"/>
      <c r="E108" s="123"/>
      <c r="F108" s="123"/>
      <c r="G108" s="123"/>
      <c r="H108" s="123"/>
      <c r="I108" s="123"/>
      <c r="J108" s="124"/>
      <c r="K108" s="5"/>
      <c r="L108" s="5"/>
    </row>
    <row r="109" spans="1:12" ht="14.1" customHeight="1" x14ac:dyDescent="0.25">
      <c r="A109" s="122"/>
      <c r="B109" s="123"/>
      <c r="C109" s="123"/>
      <c r="D109" s="123"/>
      <c r="E109" s="123"/>
      <c r="F109" s="123"/>
      <c r="G109" s="123"/>
      <c r="H109" s="123"/>
      <c r="I109" s="123"/>
      <c r="J109" s="124"/>
      <c r="K109" s="5"/>
      <c r="L109" s="5"/>
    </row>
    <row r="110" spans="1:12" ht="14.1" customHeight="1" x14ac:dyDescent="0.25">
      <c r="A110" s="125"/>
      <c r="B110" s="126"/>
      <c r="C110" s="126"/>
      <c r="D110" s="126"/>
      <c r="E110" s="126"/>
      <c r="F110" s="126"/>
      <c r="G110" s="126"/>
      <c r="H110" s="126"/>
      <c r="I110" s="126"/>
      <c r="J110" s="127"/>
      <c r="K110" s="5"/>
      <c r="L110" s="5"/>
    </row>
    <row r="111" spans="1:12" ht="14.1" customHeight="1" x14ac:dyDescent="0.25">
      <c r="A111" s="36"/>
      <c r="B111" s="20"/>
      <c r="C111" s="20"/>
      <c r="D111" s="20"/>
      <c r="E111" s="20"/>
      <c r="F111" s="20"/>
      <c r="G111" s="20"/>
      <c r="H111" s="20"/>
      <c r="I111" s="20"/>
      <c r="J111" s="20"/>
      <c r="K111" s="5"/>
      <c r="L111" s="5"/>
    </row>
    <row r="112" spans="1:12" ht="14.1" customHeight="1" x14ac:dyDescent="0.25">
      <c r="A112" s="36"/>
      <c r="B112" s="20"/>
      <c r="C112" s="20"/>
      <c r="D112" s="20"/>
      <c r="E112" s="20"/>
      <c r="F112" s="20"/>
      <c r="G112" s="20"/>
      <c r="H112" s="20"/>
      <c r="I112" s="20"/>
      <c r="J112" s="20"/>
      <c r="K112" s="5"/>
      <c r="L112" s="5"/>
    </row>
    <row r="113" spans="1:12" ht="14.1" customHeight="1" thickBot="1" x14ac:dyDescent="0.3">
      <c r="A113" s="36"/>
      <c r="B113" s="20"/>
      <c r="C113" s="20"/>
      <c r="D113" s="20"/>
      <c r="E113" s="20"/>
      <c r="F113" s="20"/>
      <c r="G113" s="20"/>
      <c r="H113" s="20"/>
      <c r="I113" s="20"/>
      <c r="J113" s="20"/>
      <c r="K113" s="5"/>
      <c r="L113" s="5"/>
    </row>
    <row r="114" spans="1:12" ht="14.1" customHeight="1" thickTop="1" x14ac:dyDescent="0.25">
      <c r="A114" s="128" t="s">
        <v>368</v>
      </c>
      <c r="B114" s="128"/>
      <c r="C114" s="128"/>
      <c r="D114" s="128"/>
      <c r="E114" s="128"/>
      <c r="F114" s="128"/>
      <c r="G114" s="128"/>
      <c r="H114" s="128"/>
      <c r="I114" s="128"/>
      <c r="J114" s="128"/>
    </row>
    <row r="115" spans="1:12" ht="14.1" customHeight="1" x14ac:dyDescent="0.25">
      <c r="A115" s="26" t="s">
        <v>466</v>
      </c>
    </row>
    <row r="116" spans="1:12" ht="14.1" customHeight="1" x14ac:dyDescent="0.25">
      <c r="A116" s="110"/>
      <c r="B116" s="111"/>
      <c r="C116" s="111"/>
      <c r="D116" s="111"/>
      <c r="E116" s="111"/>
      <c r="F116" s="111"/>
      <c r="G116" s="111"/>
      <c r="H116" s="111"/>
      <c r="I116" s="111"/>
      <c r="J116" s="112"/>
      <c r="K116" s="5"/>
      <c r="L116" s="5"/>
    </row>
    <row r="117" spans="1:12" ht="14.1" customHeight="1" x14ac:dyDescent="0.25">
      <c r="A117" s="113"/>
      <c r="B117" s="114"/>
      <c r="C117" s="114"/>
      <c r="D117" s="114"/>
      <c r="E117" s="114"/>
      <c r="F117" s="114"/>
      <c r="G117" s="114"/>
      <c r="H117" s="114"/>
      <c r="I117" s="114"/>
      <c r="J117" s="115"/>
      <c r="K117" s="5"/>
      <c r="L117" s="5"/>
    </row>
    <row r="118" spans="1:12" ht="14.1" customHeight="1" x14ac:dyDescent="0.25">
      <c r="A118" s="113"/>
      <c r="B118" s="114"/>
      <c r="C118" s="114"/>
      <c r="D118" s="114"/>
      <c r="E118" s="114"/>
      <c r="F118" s="114"/>
      <c r="G118" s="114"/>
      <c r="H118" s="114"/>
      <c r="I118" s="114"/>
      <c r="J118" s="115"/>
      <c r="K118" s="5"/>
      <c r="L118" s="5"/>
    </row>
    <row r="119" spans="1:12" ht="14.1" customHeight="1" x14ac:dyDescent="0.25">
      <c r="A119" s="113"/>
      <c r="B119" s="114"/>
      <c r="C119" s="114"/>
      <c r="D119" s="114"/>
      <c r="E119" s="114"/>
      <c r="F119" s="114"/>
      <c r="G119" s="114"/>
      <c r="H119" s="114"/>
      <c r="I119" s="114"/>
      <c r="J119" s="115"/>
      <c r="K119" s="5"/>
      <c r="L119" s="5"/>
    </row>
    <row r="120" spans="1:12" ht="14.1" customHeight="1" x14ac:dyDescent="0.25">
      <c r="A120" s="116"/>
      <c r="B120" s="117"/>
      <c r="C120" s="117"/>
      <c r="D120" s="117"/>
      <c r="E120" s="117"/>
      <c r="F120" s="117"/>
      <c r="G120" s="117"/>
      <c r="H120" s="117"/>
      <c r="I120" s="117"/>
      <c r="J120" s="118"/>
      <c r="K120" s="5"/>
      <c r="L120" s="5"/>
    </row>
    <row r="121" spans="1:12" x14ac:dyDescent="0.25"/>
    <row r="122" spans="1:12" x14ac:dyDescent="0.25"/>
    <row r="123" spans="1:12" x14ac:dyDescent="0.25"/>
    <row r="124" spans="1:12" x14ac:dyDescent="0.25"/>
    <row r="125" spans="1:12" x14ac:dyDescent="0.25"/>
    <row r="126" spans="1:12" x14ac:dyDescent="0.25"/>
    <row r="127" spans="1:12" x14ac:dyDescent="0.25"/>
    <row r="128" spans="1:12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</sheetData>
  <sheetProtection algorithmName="SHA-512" hashValue="FuQdrP4uE0rPZbQ4GYBRfpYvO40AZclzbqhdA+qhyU1zFyq+9+JrtM3X751z6Dd7KcdRFsbdX5Agb8ILu5VUIg==" saltValue="IfD2KSL7a4Ebb5PE3cAjdA==" spinCount="100000" sheet="1" objects="1" scenarios="1"/>
  <dataConsolidate link="1"/>
  <mergeCells count="55">
    <mergeCell ref="B71:E71"/>
    <mergeCell ref="B14:G14"/>
    <mergeCell ref="B10:D10"/>
    <mergeCell ref="B66:E66"/>
    <mergeCell ref="G26:J26"/>
    <mergeCell ref="B54:E54"/>
    <mergeCell ref="C39:E39"/>
    <mergeCell ref="B84:E84"/>
    <mergeCell ref="B82:E82"/>
    <mergeCell ref="B83:E83"/>
    <mergeCell ref="I4:J4"/>
    <mergeCell ref="I8:J8"/>
    <mergeCell ref="C8:E8"/>
    <mergeCell ref="B65:E65"/>
    <mergeCell ref="B59:E59"/>
    <mergeCell ref="B60:E60"/>
    <mergeCell ref="B61:E61"/>
    <mergeCell ref="B64:E64"/>
    <mergeCell ref="C12:E12"/>
    <mergeCell ref="B18:C18"/>
    <mergeCell ref="H48:I48"/>
    <mergeCell ref="F20:J20"/>
    <mergeCell ref="E10:G10"/>
    <mergeCell ref="A116:J120"/>
    <mergeCell ref="C22:D22"/>
    <mergeCell ref="D30:F30"/>
    <mergeCell ref="G92:H92"/>
    <mergeCell ref="B56:E56"/>
    <mergeCell ref="G86:H86"/>
    <mergeCell ref="G88:H88"/>
    <mergeCell ref="A95:J99"/>
    <mergeCell ref="G90:H90"/>
    <mergeCell ref="E73:G73"/>
    <mergeCell ref="B70:E70"/>
    <mergeCell ref="A106:J110"/>
    <mergeCell ref="G103:J103"/>
    <mergeCell ref="E32:F32"/>
    <mergeCell ref="B35:G35"/>
    <mergeCell ref="A114:J114"/>
    <mergeCell ref="E1:J3"/>
    <mergeCell ref="G101:J101"/>
    <mergeCell ref="H24:I24"/>
    <mergeCell ref="E79:G79"/>
    <mergeCell ref="E77:G77"/>
    <mergeCell ref="E75:G75"/>
    <mergeCell ref="B55:E55"/>
    <mergeCell ref="C6:E6"/>
    <mergeCell ref="B51:E51"/>
    <mergeCell ref="B44:E44"/>
    <mergeCell ref="B45:E45"/>
    <mergeCell ref="B46:E46"/>
    <mergeCell ref="D28:F28"/>
    <mergeCell ref="B26:D26"/>
    <mergeCell ref="B16:C16"/>
    <mergeCell ref="B69:E69"/>
  </mergeCells>
  <pageMargins left="0.7" right="0.7" top="0.5" bottom="0.75" header="0.3" footer="0.3"/>
  <pageSetup scale="81" orientation="portrait" r:id="rId1"/>
  <headerFooter>
    <oddFooter xml:space="preserve">&amp;C&amp;"-,Bold Italic"&amp;12&amp;K04-019Anticipate - Innovate - Accelerate </oddFooter>
  </headerFooter>
  <colBreaks count="1" manualBreakCount="1">
    <brk id="10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xWindow="1376" yWindow="644" count="36">
        <x14:dataValidation type="list" allowBlank="1" showInputMessage="1" showErrorMessage="1" errorTitle="Invalid Error!" error="Please select an option from the list." promptTitle="Please select from dropdown" prompt=" ">
          <x14:formula1>
            <xm:f>'Data validation values 2'!$P$2:$P$3</xm:f>
          </x14:formula1>
          <xm:sqref>G101:J101</xm:sqref>
        </x14:dataValidation>
        <x14:dataValidation type="list" allowBlank="1" showInputMessage="1" showErrorMessage="1" errorTitle="Invalid Error!" error="Please select from the list." promptTitle="Please select from dropdown" prompt=" ">
          <x14:formula1>
            <xm:f>'Data validation values 2'!$P$2:$P$3</xm:f>
          </x14:formula1>
          <xm:sqref>E32:F32 H48:I48</xm:sqref>
        </x14:dataValidation>
        <x14:dataValidation type="list" allowBlank="1" showInputMessage="1" showErrorMessage="1" errorTitle="Invalid Entry! " error="Please select a pay grade from the list." promptTitle=" Please select from dropdown" prompt=" ">
          <x14:formula1>
            <xm:f>'Data validation values 2'!$E$2:$E$17</xm:f>
          </x14:formula1>
          <xm:sqref>B16:C16</xm:sqref>
        </x14:dataValidation>
        <x14:dataValidation type="list" allowBlank="1" showInputMessage="1" showErrorMessage="1" errorTitle="Invalid Error! " error="Please select an option from the list." promptTitle="Please select from dropdown" prompt=" ">
          <x14:formula1>
            <xm:f>'Data validation values 2'!$P$2:$P$3</xm:f>
          </x14:formula1>
          <xm:sqref>F41</xm:sqref>
        </x14:dataValidation>
        <x14:dataValidation type="list" allowBlank="1" showInputMessage="1" showErrorMessage="1" errorTitle="Invalid Error!" error="Please select a race from the list." promptTitle="Please select from dropdown" prompt=" ">
          <x14:formula1>
            <xm:f>'Data validation values 2'!$K$2:$K$7</xm:f>
          </x14:formula1>
          <xm:sqref>G26:J26</xm:sqref>
        </x14:dataValidation>
        <x14:dataValidation type="list" allowBlank="1" showInputMessage="1" showErrorMessage="1" errorTitle="Invalid Error!" error="Please select a gender from the list." promptTitle="Please select from dropdown" prompt=" ">
          <x14:formula1>
            <xm:f>'Data validation values 2'!$J$2:$J$3</xm:f>
          </x14:formula1>
          <xm:sqref>B26:D26</xm:sqref>
        </x14:dataValidation>
        <x14:dataValidation type="list" allowBlank="1" showInputMessage="1" showErrorMessage="1" errorTitle="Invalid Entry!" error="Please select a pay plan from the list." promptTitle="Please select from dropdown" prompt=" ">
          <x14:formula1>
            <xm:f>'Data validation values 2'!$B$2:$B$6</xm:f>
          </x14:formula1>
          <xm:sqref>B10</xm:sqref>
        </x14:dataValidation>
        <x14:dataValidation type="list" allowBlank="1" showInputMessage="1" showErrorMessage="1" errorTitle="Invalid Error! " error="Please select an option from the list." promptTitle="Please select from dropdown" prompt=" ">
          <x14:formula1>
            <xm:f>'Data validation values 2'!$N$2:$N$4</xm:f>
          </x14:formula1>
          <xm:sqref>G37</xm:sqref>
        </x14:dataValidation>
        <x14:dataValidation type="list" allowBlank="1" showInputMessage="1" showErrorMessage="1" errorTitle="Invalid Error!" error="Please select a job from the list." promptTitle="Please select from dropdown" prompt=" ">
          <x14:formula1>
            <xm:f>'Data validation values 2'!$M$2:$M$24</xm:f>
          </x14:formula1>
          <xm:sqref>C39:E39</xm:sqref>
        </x14:dataValidation>
        <x14:dataValidation type="list" allowBlank="1" showInputMessage="1" showErrorMessage="1" errorTitle="Invalid Error! " error="Please select a BL/SL from the list." promptTitle="Please select from dropdown" prompt=" ">
          <x14:formula1>
            <xm:f>'Data validation values 1'!$A$1:$L$1</xm:f>
          </x14:formula1>
          <xm:sqref>F20:J20</xm:sqref>
        </x14:dataValidation>
        <x14:dataValidation type="list" allowBlank="1" showInputMessage="1" showErrorMessage="1" errorTitle="Invalid Error!" error="Please select from the list. " promptTitle="Please select from dropdown" prompt=" ">
          <x14:formula1>
            <xm:f>'Data validation values 2'!$P$2:$P$3</xm:f>
          </x14:formula1>
          <xm:sqref>D30:F30 D28:F28</xm:sqref>
        </x14:dataValidation>
        <x14:dataValidation type="list" allowBlank="1" showInputMessage="1" showErrorMessage="1" errorTitle="Invalid Error! " error="Please select the service length from the list." promptTitle="Please select from dropdown" prompt=" ">
          <x14:formula1>
            <xm:f>'Data validation values 2'!$I$2:$I$18</xm:f>
          </x14:formula1>
          <xm:sqref>H24:I24</xm:sqref>
        </x14:dataValidation>
        <x14:dataValidation type="list" allowBlank="1" showInputMessage="1" showErrorMessage="1" errorTitle="Invalid Error! " error="Please select from the list." promptTitle="Please select from dropdown" prompt=" ">
          <x14:formula1>
            <xm:f>'Data validation values 2'!$L$2:$L$15</xm:f>
          </x14:formula1>
          <xm:sqref>B35:G35</xm:sqref>
        </x14:dataValidation>
        <x14:dataValidation type="list" allowBlank="1" showInputMessage="1" showErrorMessage="1" errorTitle="Invalid Error! " error="Please select a decision from the list. " promptTitle="Please select from dropdown" prompt=" ">
          <x14:formula1>
            <xm:f>'Data validation values 2'!$O$2:$O$14</xm:f>
          </x14:formula1>
          <xm:sqref>B44:E46</xm:sqref>
        </x14:dataValidation>
        <x14:dataValidation type="list" allowBlank="1" showInputMessage="1" showErrorMessage="1" errorTitle="Invalid Error!" error="Please select a intern program from the list." promptTitle="Please select from dropdown" prompt=" ">
          <x14:formula1>
            <xm:f>'Data validation values 2'!$Q$2:$Q$8</xm:f>
          </x14:formula1>
          <xm:sqref>B51:E51</xm:sqref>
        </x14:dataValidation>
        <x14:dataValidation type="list" allowBlank="1" showInputMessage="1" showErrorMessage="1" errorTitle="Invalid Error!" error="Please select from the list." promptTitle="Please select from dropdown" prompt=" ">
          <x14:formula1>
            <xm:f>'Data validation values 2'!$T$2:$T$15</xm:f>
          </x14:formula1>
          <xm:sqref>B64:E66</xm:sqref>
        </x14:dataValidation>
        <x14:dataValidation type="list" allowBlank="1" showInputMessage="1" showErrorMessage="1" errorTitle="Invalid Error" error="Please select from the list." promptTitle="Please select from dropdown" prompt=" ">
          <x14:formula1>
            <xm:f>'Data validation values 2'!$U$2:$U$10</xm:f>
          </x14:formula1>
          <xm:sqref>B69:E71</xm:sqref>
        </x14:dataValidation>
        <x14:dataValidation type="list" allowBlank="1" showInputMessage="1" showErrorMessage="1" errorTitle="Invalid Error!" error="Please select option from the list._x000a_" promptTitle="Please select from dropdown" prompt=" ">
          <x14:formula1>
            <xm:f>'Data validation values 2'!$W$2:$W$12</xm:f>
          </x14:formula1>
          <xm:sqref>B82:E84</xm:sqref>
        </x14:dataValidation>
        <x14:dataValidation type="list" allowBlank="1" showInputMessage="1" showErrorMessage="1" errorTitle="Invalid Error!" error="Please select a division code from the list." promptTitle="Please select from dropdown" prompt=" ">
          <x14:formula1>
            <xm:f>OFFSET('Data validation values 1'!$A$1,1,MATCH($F$20,'Data validation values 1'!$A$1:$L$1,0)-1, COUNTA(OFFSET('Data validation values 1'!$A$1,1,MATCH($F$20,'Data validation values 1'!$A$1:$L$1,0)-1,40,1)),1)</xm:f>
          </x14:formula1>
          <xm:sqref>C22:D22</xm:sqref>
        </x14:dataValidation>
        <x14:dataValidation type="list" allowBlank="1" showInputMessage="1" showErrorMessage="1" errorTitle="Invalid Error! " error="Please select option from the list." promptTitle="Please select from dropdown" prompt=" ">
          <x14:formula1>
            <xm:f>'Data validation values 2'!$R$2:$R$13</xm:f>
          </x14:formula1>
          <xm:sqref>B54:E56</xm:sqref>
        </x14:dataValidation>
        <x14:dataValidation type="list" allowBlank="1" showInputMessage="1" showErrorMessage="1" errorTitle="Invalid Error! " error="Please select option from list." promptTitle="Please select from dropdown" prompt=" ">
          <x14:formula1>
            <xm:f>'Data validation values 2'!$S$2:$S$11</xm:f>
          </x14:formula1>
          <xm:sqref>B59:E61</xm:sqref>
        </x14:dataValidation>
        <x14:dataValidation type="list" allowBlank="1" showInputMessage="1" showErrorMessage="1" errorTitle="Invalid Error!" error="Please select an option from the list." promptTitle="Please select from dropdown" prompt=" ">
          <x14:formula1>
            <xm:f>'Data validation values 2'!$D$2:$D$65</xm:f>
          </x14:formula1>
          <xm:sqref>B14:G14</xm:sqref>
        </x14:dataValidation>
        <x14:dataValidation type="list" allowBlank="1" showInputMessage="1" showErrorMessage="1" errorTitle="Invalid Error!" error="Please select an option from the list._x000a_" promptTitle="Please select from dropdown" prompt=" ">
          <x14:formula1>
            <xm:f>'Data validation values 2'!$X$2:$X$8</xm:f>
          </x14:formula1>
          <xm:sqref>G103:J103</xm:sqref>
        </x14:dataValidation>
        <x14:dataValidation type="list" allowBlank="1" showInputMessage="1" showErrorMessage="1" errorTitle="Invalid Error!" error="Please select from the list." promptTitle="Please select from dropdown" prompt=" ">
          <x14:formula1>
            <xm:f>'Data validation values 2'!$C$2:$C$5</xm:f>
          </x14:formula1>
          <xm:sqref>C12:E12</xm:sqref>
        </x14:dataValidation>
        <x14:dataValidation type="list" allowBlank="1" showInputMessage="1" showErrorMessage="1" errorTitle="Invalid Entry!" error="Please select a UIC from the list." promptTitle="Please select from dropdown" prompt=" ">
          <x14:formula1>
            <xm:f>'Data validation values 2'!$F$2:$F$4</xm:f>
          </x14:formula1>
          <xm:sqref>B18</xm:sqref>
        </x14:dataValidation>
        <x14:dataValidation type="list" allowBlank="1" showInputMessage="1" showErrorMessage="1" errorTitle="Invalid Error!" error="Please select an option from the list." promptTitle="Please select from dropdown" prompt=" ">
          <x14:formula1>
            <xm:f>'Data validation values 2'!$P$2:$P$3</xm:f>
          </x14:formula1>
          <xm:sqref>G86:H86 G88:H88 G90:H90 G92:H92</xm:sqref>
        </x14:dataValidation>
        <x14:dataValidation type="list" allowBlank="1" showInputMessage="1" showErrorMessage="1" errorTitle="Invalid Error! " error="Please select from the list." promptTitle="Please select from dropdown" prompt=" ">
          <x14:formula1>
            <xm:f>'Data validation values 2'!$V$2:$V$6</xm:f>
          </x14:formula1>
          <xm:sqref>E73:G73</xm:sqref>
        </x14:dataValidation>
        <x14:dataValidation type="list" allowBlank="1" showInputMessage="1" showErrorMessage="1" errorTitle="Invalid Error! " error="Please select from the list." promptTitle="Please select from dropdown" prompt=" ">
          <x14:formula1>
            <xm:f>'Data validation values 2'!$V$2:$V$6</xm:f>
          </x14:formula1>
          <xm:sqref>E75:G75</xm:sqref>
        </x14:dataValidation>
        <x14:dataValidation type="list" allowBlank="1" showInputMessage="1" showErrorMessage="1" errorTitle="Invalid Error! " error="Please select from the list." promptTitle="Please select from dropdown" prompt=" ">
          <x14:formula1>
            <xm:f>'Data validation values 2'!$V$2:$V$6</xm:f>
          </x14:formula1>
          <xm:sqref>E77:G77</xm:sqref>
        </x14:dataValidation>
        <x14:dataValidation type="list" allowBlank="1" showInputMessage="1" showErrorMessage="1" errorTitle="Invalid Error! " error="Please select from the list." promptTitle="Please select from dropdown" prompt=" ">
          <x14:formula1>
            <xm:f>'Data validation values 2'!$V$2:$V$6</xm:f>
          </x14:formula1>
          <xm:sqref>E79:G79</xm:sqref>
        </x14:dataValidation>
        <x14:dataValidation type="textLength" operator="lessThanOrEqual" allowBlank="1" showInputMessage="1" showErrorMessage="1" errorTitle="Invalid Error! " error="Please enter less than 700 characters.">
          <x14:formula1>
            <xm:f>'Data validation values 2'!AD3</xm:f>
          </x14:formula1>
          <xm:sqref>A116:J120</xm:sqref>
        </x14:dataValidation>
        <x14:dataValidation type="textLength" operator="lessThanOrEqual" allowBlank="1" showInputMessage="1" showErrorMessage="1" errorTitle="Invalid Error!" error="Please enter less than 700 characters.">
          <x14:formula1>
            <xm:f>'Data validation values 2'!AD3</xm:f>
          </x14:formula1>
          <xm:sqref>A106</xm:sqref>
        </x14:dataValidation>
        <x14:dataValidation type="textLength" operator="lessThanOrEqual" allowBlank="1" showInputMessage="1" showErrorMessage="1" errorTitle="Invalid Error!" error="Please enter less than 700 characters.">
          <x14:formula1>
            <xm:f>'Data validation values 2'!AD3</xm:f>
          </x14:formula1>
          <xm:sqref>A95:J99</xm:sqref>
        </x14:dataValidation>
        <x14:dataValidation type="date" allowBlank="1" showInputMessage="1" showErrorMessage="1" errorTitle="Invalid Error!" error="Please enter a value between 1/1/1970 - 12/31/2050." promptTitle="Date format" prompt="MM/DD/YYYY_x000a_">
          <x14:formula1>
            <xm:f>'Data validation values 2'!XEV2</xm:f>
          </x14:formula1>
          <x14:formula2>
            <xm:f>'Data validation values 2'!XEV3</xm:f>
          </x14:formula2>
          <xm:sqref>C8:E8</xm:sqref>
        </x14:dataValidation>
        <x14:dataValidation type="date" allowBlank="1" showInputMessage="1" showErrorMessage="1" errorTitle="Invalid Error!" error="Please enter a date from 1/1/1970 - 12/31/2050." promptTitle="Date format" prompt="MM/DD/YYYY">
          <x14:formula1>
            <xm:f>'Data validation values 2'!E1048574</xm:f>
          </x14:formula1>
          <x14:formula2>
            <xm:f>'Data validation values 2'!E1048575</xm:f>
          </x14:formula2>
          <xm:sqref>I4:J4</xm:sqref>
        </x14:dataValidation>
        <x14:dataValidation type="date" allowBlank="1" showInputMessage="1" showErrorMessage="1" errorTitle="Invalid Error!" error="Please enter a value between 1/1/1970 - 12/31/2050." promptTitle="Date format" prompt="MM/DD/YYYY">
          <x14:formula1>
            <xm:f>'Data validation values 2'!A2</xm:f>
          </x14:formula1>
          <x14:formula2>
            <xm:f>'Data validation values 2'!A3</xm:f>
          </x14:formula2>
          <xm:sqref>I8:J8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BR5"/>
  <sheetViews>
    <sheetView zoomScale="160" zoomScaleNormal="160" workbookViewId="0">
      <selection activeCell="BQ2" sqref="BQ2"/>
    </sheetView>
  </sheetViews>
  <sheetFormatPr defaultColWidth="9.140625" defaultRowHeight="15" x14ac:dyDescent="0.25"/>
  <cols>
    <col min="1" max="1" width="9.42578125" style="54" bestFit="1" customWidth="1"/>
    <col min="2" max="6" width="9.140625" style="54"/>
    <col min="7" max="13" width="9.140625" style="42"/>
    <col min="14" max="14" width="10.42578125" style="42" bestFit="1" customWidth="1"/>
    <col min="15" max="21" width="9.140625" style="42"/>
    <col min="22" max="22" width="11.28515625" style="42" customWidth="1"/>
    <col min="23" max="36" width="9.140625" style="42"/>
    <col min="37" max="37" width="10.85546875" style="42" customWidth="1"/>
    <col min="38" max="38" width="27.5703125" style="42" bestFit="1" customWidth="1"/>
    <col min="39" max="39" width="9.140625" style="42"/>
    <col min="40" max="40" width="16.85546875" style="42" bestFit="1" customWidth="1"/>
    <col min="41" max="41" width="11.42578125" style="42" customWidth="1"/>
    <col min="42" max="42" width="28.85546875" style="42" bestFit="1" customWidth="1"/>
    <col min="43" max="43" width="28.85546875" style="42" customWidth="1"/>
    <col min="44" max="44" width="10.28515625" style="42" bestFit="1" customWidth="1"/>
    <col min="45" max="45" width="15" style="42" bestFit="1" customWidth="1"/>
    <col min="46" max="67" width="9.140625" style="42"/>
    <col min="68" max="68" width="9.5703125" style="42" customWidth="1"/>
    <col min="69" max="69" width="7.85546875" style="42" customWidth="1"/>
    <col min="70" max="70" width="8.140625" style="42" customWidth="1"/>
    <col min="71" max="16384" width="9.140625" style="42"/>
  </cols>
  <sheetData>
    <row r="1" spans="1:70" s="68" customFormat="1" ht="57" customHeight="1" thickBot="1" x14ac:dyDescent="0.3">
      <c r="A1" s="63" t="s">
        <v>417</v>
      </c>
      <c r="B1" s="64" t="s">
        <v>418</v>
      </c>
      <c r="C1" s="64" t="s">
        <v>419</v>
      </c>
      <c r="D1" s="64" t="s">
        <v>420</v>
      </c>
      <c r="E1" s="64" t="s">
        <v>421</v>
      </c>
      <c r="F1" s="64" t="s">
        <v>430</v>
      </c>
      <c r="G1" s="65" t="s">
        <v>424</v>
      </c>
      <c r="H1" s="63" t="s">
        <v>425</v>
      </c>
      <c r="I1" s="66" t="s">
        <v>426</v>
      </c>
      <c r="J1" s="66" t="s">
        <v>427</v>
      </c>
      <c r="K1" s="66" t="s">
        <v>428</v>
      </c>
      <c r="L1" s="66" t="s">
        <v>429</v>
      </c>
      <c r="M1" s="66" t="s">
        <v>431</v>
      </c>
      <c r="N1" s="63" t="s">
        <v>432</v>
      </c>
      <c r="O1" s="67" t="s">
        <v>433</v>
      </c>
      <c r="P1" s="67" t="s">
        <v>434</v>
      </c>
      <c r="Q1" s="67" t="s">
        <v>435</v>
      </c>
      <c r="R1" s="67" t="s">
        <v>436</v>
      </c>
      <c r="S1" s="67" t="s">
        <v>437</v>
      </c>
      <c r="T1" s="91" t="s">
        <v>438</v>
      </c>
      <c r="U1" s="93" t="s">
        <v>405</v>
      </c>
      <c r="V1" s="92" t="s">
        <v>406</v>
      </c>
      <c r="W1" s="63" t="s">
        <v>407</v>
      </c>
      <c r="X1" s="63" t="s">
        <v>408</v>
      </c>
      <c r="Y1" s="91" t="s">
        <v>439</v>
      </c>
      <c r="Z1" s="92" t="s">
        <v>440</v>
      </c>
      <c r="AA1" s="63" t="s">
        <v>441</v>
      </c>
      <c r="AB1" s="69" t="s">
        <v>468</v>
      </c>
      <c r="AC1" s="65" t="s">
        <v>412</v>
      </c>
      <c r="AD1" s="65" t="s">
        <v>413</v>
      </c>
      <c r="AE1" s="65" t="s">
        <v>447</v>
      </c>
      <c r="AF1" s="65" t="s">
        <v>442</v>
      </c>
      <c r="AG1" s="70" t="s">
        <v>443</v>
      </c>
      <c r="AH1" s="71" t="s">
        <v>444</v>
      </c>
      <c r="AI1" s="71" t="s">
        <v>445</v>
      </c>
      <c r="AJ1" s="94" t="s">
        <v>415</v>
      </c>
      <c r="AK1" s="95" t="s">
        <v>446</v>
      </c>
      <c r="AL1" s="71" t="s">
        <v>451</v>
      </c>
      <c r="AM1" s="71" t="s">
        <v>452</v>
      </c>
      <c r="AN1" s="72" t="s">
        <v>453</v>
      </c>
      <c r="AO1" s="70" t="s">
        <v>448</v>
      </c>
      <c r="AP1" s="71" t="s">
        <v>449</v>
      </c>
      <c r="AQ1" s="94" t="s">
        <v>469</v>
      </c>
      <c r="AR1" s="96" t="s">
        <v>470</v>
      </c>
      <c r="AS1" s="95" t="s">
        <v>471</v>
      </c>
      <c r="AT1" s="94" t="s">
        <v>472</v>
      </c>
      <c r="AU1" s="96" t="s">
        <v>473</v>
      </c>
      <c r="AV1" s="95" t="s">
        <v>474</v>
      </c>
      <c r="AW1" s="94" t="s">
        <v>475</v>
      </c>
      <c r="AX1" s="96" t="s">
        <v>476</v>
      </c>
      <c r="AY1" s="95" t="s">
        <v>477</v>
      </c>
      <c r="AZ1" s="94" t="s">
        <v>478</v>
      </c>
      <c r="BA1" s="96" t="s">
        <v>479</v>
      </c>
      <c r="BB1" s="95" t="s">
        <v>480</v>
      </c>
      <c r="BC1" s="65" t="s">
        <v>481</v>
      </c>
      <c r="BD1" s="65" t="s">
        <v>482</v>
      </c>
      <c r="BE1" s="65" t="s">
        <v>483</v>
      </c>
      <c r="BF1" s="65" t="s">
        <v>484</v>
      </c>
      <c r="BG1" s="94" t="s">
        <v>485</v>
      </c>
      <c r="BH1" s="96" t="s">
        <v>486</v>
      </c>
      <c r="BI1" s="95" t="s">
        <v>487</v>
      </c>
      <c r="BJ1" s="65" t="s">
        <v>497</v>
      </c>
      <c r="BK1" s="65" t="s">
        <v>498</v>
      </c>
      <c r="BL1" s="65" t="s">
        <v>499</v>
      </c>
      <c r="BM1" s="65" t="s">
        <v>500</v>
      </c>
      <c r="BN1" s="65" t="s">
        <v>501</v>
      </c>
      <c r="BO1" s="65" t="s">
        <v>502</v>
      </c>
      <c r="BP1" s="65" t="s">
        <v>456</v>
      </c>
      <c r="BQ1" s="65" t="s">
        <v>455</v>
      </c>
      <c r="BR1" s="65" t="s">
        <v>454</v>
      </c>
    </row>
    <row r="2" spans="1:70" s="51" customFormat="1" ht="12.75" x14ac:dyDescent="0.2">
      <c r="A2" s="49" t="str">
        <f>IF('Employee Survey'!$I$4=0,"N/A",'Employee Survey'!$I$4)</f>
        <v>N/A</v>
      </c>
      <c r="B2" s="50" t="str">
        <f>IF(A2="N/A","N/A",MONTH(A2))</f>
        <v>N/A</v>
      </c>
      <c r="C2" s="50" t="str">
        <f>VLOOKUP(B2,'Data validation values 2'!$Z$2:$AA$14,2,FALSE)</f>
        <v>N/A</v>
      </c>
      <c r="D2" s="50" t="str">
        <f>IF(A2="N/A","N/A",YEAR(A2))</f>
        <v>N/A</v>
      </c>
      <c r="E2" s="50" t="str">
        <f>VLOOKUP(C2,'Data validation values 2'!$AA$2:$AB$14,2,FALSE)</f>
        <v>N/A</v>
      </c>
      <c r="F2" s="49" t="str">
        <f>IF(E2="N/A","N/A",IF(OR(E2="Q2",E2="Q3",E2="Q4"),CONCATENATE("FY",RIGHT(D2,2)),CONCATENATE("FY",RIGHT(D2,2)+1)))</f>
        <v>N/A</v>
      </c>
      <c r="G2" s="50" t="str">
        <f>IF('Employee Survey'!$C$6=0,"N/A", 'Employee Survey'!$C$6)</f>
        <v>N/A</v>
      </c>
      <c r="H2" s="49" t="str">
        <f>IF('Employee Survey'!$C$8=0,"N/A",'Employee Survey'!$C$8)</f>
        <v>N/A</v>
      </c>
      <c r="I2" s="50" t="str">
        <f>IF(H2="N/A","N/A",MONTH(H2))</f>
        <v>N/A</v>
      </c>
      <c r="J2" s="50" t="str">
        <f>VLOOKUP(I2,'Data validation values 2'!$Z$2:$AA$14,2,FALSE)</f>
        <v>N/A</v>
      </c>
      <c r="K2" s="50" t="str">
        <f>IF(H2="N/A","N/A",YEAR(H2))</f>
        <v>N/A</v>
      </c>
      <c r="L2" s="50" t="str">
        <f>VLOOKUP(J2,'Data validation values 2'!$AA$2:$AB$14,2,FALSE)</f>
        <v>N/A</v>
      </c>
      <c r="M2" s="49" t="str">
        <f>IF(L2="N/A","N/A",IF(OR(L2="Q2",L2="Q3",L2="Q4"),CONCATENATE("FY",RIGHT(K2,2)),CONCATENATE("FY",RIGHT(K2,2)+1)))</f>
        <v>N/A</v>
      </c>
      <c r="N2" s="49" t="str">
        <f>IF('Employee Survey'!$I$8=0,"N/A",'Employee Survey'!$I$8)</f>
        <v>N/A</v>
      </c>
      <c r="O2" s="50" t="str">
        <f>IF(N2="N/A","N/A",MONTH(N2))</f>
        <v>N/A</v>
      </c>
      <c r="P2" s="50" t="str">
        <f>VLOOKUP(O2,'Data validation values 2'!$Z$2:$AA$14,2,FALSE)</f>
        <v>N/A</v>
      </c>
      <c r="Q2" s="50" t="str">
        <f>IF(N2="N/A","N/A",YEAR(N2))</f>
        <v>N/A</v>
      </c>
      <c r="R2" s="50" t="str">
        <f>VLOOKUP(P2,'Data validation values 2'!$AA$2:$AB$14,2,FALSE)</f>
        <v>N/A</v>
      </c>
      <c r="S2" s="49" t="str">
        <f>IF(R2="N/A","N/A",IF(OR(R2="Q2",R2="Q3",R2="Q4"),CONCATENATE("FY",RIGHT(Q2,2)),CONCATENATE("FY",RIGHT(Q2,2)+1)))</f>
        <v>N/A</v>
      </c>
      <c r="T2" s="51" t="str">
        <f>IF('Employee Survey'!$B$10=0,"N/A",'Employee Survey'!$B$10)</f>
        <v>N/A</v>
      </c>
      <c r="U2" s="51" t="str">
        <f>IF('Employee Survey'!C12=0, "N/A",'Employee Survey'!C12)</f>
        <v>N/A</v>
      </c>
      <c r="V2" s="51" t="str">
        <f>IF('Employee Survey'!$B$14=0,"N/A",'Employee Survey'!$B$14)</f>
        <v>N/A</v>
      </c>
      <c r="W2" s="51" t="str">
        <f>IF('Employee Survey'!$B$16=0,"N/A",'Employee Survey'!$B$16)</f>
        <v>N/A</v>
      </c>
      <c r="X2" s="51" t="str">
        <f>IF('Employee Survey'!B18=0,"N/A",'Employee Survey'!B18)</f>
        <v>N/A</v>
      </c>
      <c r="Y2" s="51" t="str">
        <f>IF('Employee Survey'!$F$20=0,"N/A",'Employee Survey'!$F$20)</f>
        <v>N/A</v>
      </c>
      <c r="Z2" s="51">
        <f>IF('Employee Survey'!$C$22="    ","N/A",'Employee Survey'!$C$22)</f>
        <v>0</v>
      </c>
      <c r="AA2" s="51" t="str">
        <f>IF('Employee Survey'!$H$24=0,"N/A",'Employee Survey'!$H$24)</f>
        <v>N/A</v>
      </c>
      <c r="AB2" s="51" t="str">
        <f>IF(OR(H2="N/A",N2="N/A"),"N/A",Q2-K2)</f>
        <v>N/A</v>
      </c>
      <c r="AC2" s="51" t="str">
        <f>IF('Employee Survey'!$B$26=0,"N/A",'Employee Survey'!$B$26)</f>
        <v>N/A</v>
      </c>
      <c r="AD2" s="51" t="str">
        <f>IF('Employee Survey'!$G$26=0,"N/A",'Employee Survey'!$G$26)</f>
        <v>N/A</v>
      </c>
      <c r="AE2" s="51" t="str">
        <f>IF('Employee Survey'!$D$28=0,"N/A",'Employee Survey'!$D$28)</f>
        <v>N/A</v>
      </c>
      <c r="AF2" s="51" t="str">
        <f>IF('Employee Survey'!$D$30=0,"N/A",'Employee Survey'!$D$30)</f>
        <v>N/A</v>
      </c>
      <c r="AG2" s="51" t="str">
        <f>IF('Employee Survey'!$E$32=0,"N/A",'Employee Survey'!$E$32)</f>
        <v>N/A</v>
      </c>
      <c r="AH2" s="51" t="str">
        <f>IF('Employee Survey'!$B$35=0,"N/A",'Employee Survey'!$B$35)</f>
        <v>N/A</v>
      </c>
      <c r="AI2" s="51" t="str">
        <f>IF('Employee Survey'!$G$37=0,"N/A",'Employee Survey'!$G$37)</f>
        <v>N/A</v>
      </c>
      <c r="AJ2" s="51" t="str">
        <f>IF('Employee Survey'!$C$39=0,"N/A",'Employee Survey'!$C$39)</f>
        <v>N/A</v>
      </c>
      <c r="AK2" s="51" t="str">
        <f>IF('Employee Survey'!$F$41=0,"N/A",'Employee Survey'!$F$41)</f>
        <v>N/A</v>
      </c>
      <c r="AL2" s="51" t="str">
        <f>IF('Employee Survey'!$B$44=0,"N/A",'Employee Survey'!$B$44)</f>
        <v>N/A</v>
      </c>
      <c r="AM2" s="51" t="str">
        <f>IF('Employee Survey'!$B$45=0,"N/A",'Employee Survey'!$B$45)</f>
        <v>N/A</v>
      </c>
      <c r="AN2" s="51" t="str">
        <f>IF('Employee Survey'!$B$46=0,"N/A",'Employee Survey'!$B$46)</f>
        <v>N/A</v>
      </c>
      <c r="AO2" s="51" t="str">
        <f>IF('Employee Survey'!$H$48=0,"N/A",'Employee Survey'!$H$48)</f>
        <v>N/A</v>
      </c>
      <c r="AP2" s="51" t="str">
        <f>IF('Employee Survey'!$B$51=0,"N/A",'Employee Survey'!$B$51)</f>
        <v>N/A</v>
      </c>
      <c r="AQ2" s="51" t="str">
        <f>IF('Employee Survey'!$B$54=0,"N/A",'Employee Survey'!$B$54)</f>
        <v>N/A</v>
      </c>
      <c r="AR2" s="73" t="str">
        <f>IF('Employee Survey'!$B$55=0,"N/A",'Employee Survey'!$B$55)</f>
        <v>N/A</v>
      </c>
      <c r="AS2" s="73" t="str">
        <f>IF('Employee Survey'!$B$56=0,"N/A",'Employee Survey'!$B$56)</f>
        <v>N/A</v>
      </c>
      <c r="AT2" s="51" t="str">
        <f>IF('Employee Survey'!$B$59=0,"N/A",'Employee Survey'!$B$59)</f>
        <v>N/A</v>
      </c>
      <c r="AU2" s="51" t="str">
        <f>IF('Employee Survey'!$B$60=0,"N/A",'Employee Survey'!$B$60)</f>
        <v>N/A</v>
      </c>
      <c r="AV2" s="51" t="str">
        <f>IF('Employee Survey'!$B$61=0,"N/A",'Employee Survey'!$B$61)</f>
        <v>N/A</v>
      </c>
      <c r="AW2" s="52" t="str">
        <f>IF('Employee Survey'!$B$64=0,"N/A",'Employee Survey'!$B$64)</f>
        <v>N/A</v>
      </c>
      <c r="AX2" s="53" t="str">
        <f>IF('Employee Survey'!$B$65=0,"N/A",'Employee Survey'!$B$65)</f>
        <v>N/A</v>
      </c>
      <c r="AY2" s="53" t="str">
        <f>IF('Employee Survey'!$B$66=0,"N/A",'Employee Survey'!$B$66)</f>
        <v>N/A</v>
      </c>
      <c r="AZ2" s="51" t="str">
        <f>IF('Employee Survey'!$B$69=0,"N/A",'Employee Survey'!$B$69)</f>
        <v>N/A</v>
      </c>
      <c r="BA2" s="51" t="str">
        <f>IF('Employee Survey'!$B$70=0,"N/A",'Employee Survey'!$B$70)</f>
        <v>N/A</v>
      </c>
      <c r="BB2" s="51" t="str">
        <f>IF('Employee Survey'!$B$71=0,"N/A",'Employee Survey'!$B$71)</f>
        <v>N/A</v>
      </c>
      <c r="BC2" s="51" t="str">
        <f>IF('Employee Survey'!$E$73=0,"N/A",'Employee Survey'!$E$73)</f>
        <v>N/A</v>
      </c>
      <c r="BD2" s="51" t="str">
        <f>IF('Employee Survey'!$E$75=0,"N/A",'Employee Survey'!$E$75)</f>
        <v>N/A</v>
      </c>
      <c r="BE2" s="51" t="str">
        <f>IF('Employee Survey'!$E$77=0,"N/A",'Employee Survey'!$E$77)</f>
        <v>N/A</v>
      </c>
      <c r="BF2" s="51" t="str">
        <f>IF('Employee Survey'!$E$79=0,"N/A",'Employee Survey'!$E$79)</f>
        <v>N/A</v>
      </c>
      <c r="BG2" s="51" t="str">
        <f>IF('Employee Survey'!$B$82=0,"N/A",'Employee Survey'!$B$82)</f>
        <v>N/A</v>
      </c>
      <c r="BH2" s="51" t="str">
        <f>IF('Employee Survey'!$B$83=0,"N/A",'Employee Survey'!$B$83)</f>
        <v>N/A</v>
      </c>
      <c r="BI2" s="51" t="str">
        <f>IF('Employee Survey'!$B$84=0,"N/A",'Employee Survey'!$B$84)</f>
        <v>N/A</v>
      </c>
      <c r="BJ2" s="51" t="str">
        <f>IF('Employee Survey'!$G$86=0,"N/A",'Employee Survey'!$G$86)</f>
        <v>N/A</v>
      </c>
      <c r="BK2" s="51" t="str">
        <f>IF('Employee Survey'!$G$88=0,"N/A",'Employee Survey'!$G$88)</f>
        <v>N/A</v>
      </c>
      <c r="BL2" s="51" t="str">
        <f>IF('Employee Survey'!$G$90=0,"N/A",'Employee Survey'!$G$90)</f>
        <v>N/A</v>
      </c>
      <c r="BM2" s="51" t="str">
        <f>IF('Employee Survey'!$G$92=0,"N/A",'Employee Survey'!$G$92)</f>
        <v>N/A</v>
      </c>
      <c r="BN2" s="50" t="str">
        <f>IF('Employee Survey'!$A$95 = 0, "N/A", 'Employee Survey'!$A$95)</f>
        <v>N/A</v>
      </c>
      <c r="BO2" s="51" t="str">
        <f>IF('Employee Survey'!$G$101=0,"N/A",'Employee Survey'!$G$101)</f>
        <v>N/A</v>
      </c>
      <c r="BP2" s="51" t="str">
        <f>IF('Employee Survey'!$G$103=0,"N/A",'Employee Survey'!$G$103)</f>
        <v>N/A</v>
      </c>
      <c r="BQ2" s="51" t="str">
        <f>IF('Employee Survey'!$A$106 = 0,"N/A",'Employee Survey'!$A$106)</f>
        <v>N/A</v>
      </c>
      <c r="BR2" s="51" t="str">
        <f>IF('Employee Survey'!$A$116 = 0, "N/A", 'Employee Survey'!$A$116)</f>
        <v>N/A</v>
      </c>
    </row>
    <row r="3" spans="1:70" x14ac:dyDescent="0.25">
      <c r="AR3" s="74"/>
      <c r="AS3" s="74"/>
    </row>
    <row r="4" spans="1:70" x14ac:dyDescent="0.25">
      <c r="H4" s="54"/>
      <c r="I4" s="54"/>
      <c r="J4" s="54"/>
      <c r="K4" s="54"/>
      <c r="L4" s="54"/>
      <c r="M4" s="54"/>
      <c r="AR4" s="74"/>
      <c r="AS4" s="74"/>
    </row>
    <row r="5" spans="1:70" x14ac:dyDescent="0.25">
      <c r="AR5" s="74"/>
      <c r="AS5" s="74"/>
    </row>
  </sheetData>
  <sheetProtection selectLockedCells="1" selectUnlockedCells="1"/>
  <dataConsolidate/>
  <dataValidations xWindow="1340" yWindow="414" count="43">
    <dataValidation allowBlank="1" showInputMessage="1" showErrorMessage="1" promptTitle="Completion Date" prompt="Date (MM/DD/YYYY)" sqref="A1:F1"/>
    <dataValidation allowBlank="1" showInputMessage="1" showErrorMessage="1" promptTitle="Question 1" prompt="Full Name" sqref="G1"/>
    <dataValidation allowBlank="1" showInputMessage="1" showErrorMessage="1" promptTitle="Question 4" prompt="Pay Plan" sqref="T1"/>
    <dataValidation allowBlank="1" showInputMessage="1" showErrorMessage="1" promptTitle="Question 4a" prompt="Career Path" sqref="U1"/>
    <dataValidation allowBlank="1" showInputMessage="1" showErrorMessage="1" promptTitle="Question 4b" prompt="Job Series" sqref="V1"/>
    <dataValidation allowBlank="1" showInputMessage="1" showErrorMessage="1" promptTitle="Question 5" prompt="Pay Grade" sqref="W1"/>
    <dataValidation allowBlank="1" showInputMessage="1" showErrorMessage="1" promptTitle="Question 6" prompt="UIC" sqref="X1"/>
    <dataValidation allowBlank="1" showInputMessage="1" showErrorMessage="1" promptTitle="Question 7" prompt="To which BL/SL are you assigned?" sqref="Y1"/>
    <dataValidation allowBlank="1" showInputMessage="1" showErrorMessage="1" promptTitle="Question 7a." prompt="Specific Division/Code" sqref="Z1"/>
    <dataValidation allowBlank="1" showInputMessage="1" showErrorMessage="1" promptTitle="Question 8" prompt="Total federal service length (includes previous federal service and federal service with EXWC)" sqref="AA1"/>
    <dataValidation allowBlank="1" showInputMessage="1" showErrorMessage="1" promptTitle="Question 9" prompt="Gender" sqref="AC1"/>
    <dataValidation allowBlank="1" showInputMessage="1" showErrorMessage="1" promptTitle="Question 10" prompt="Race" sqref="AD1"/>
    <dataValidation allowBlank="1" showInputMessage="1" showErrorMessage="1" promptTitle="Question 11" prompt="Are you a wounded warrior?" sqref="AE1"/>
    <dataValidation allowBlank="1" showInputMessage="1" showErrorMessage="1" promptTitle="Question 12" prompt="Do you have a disability?" sqref="AF1"/>
    <dataValidation allowBlank="1" showInputMessage="1" showErrorMessage="1" promptTitle="Question 13" prompt="Are you currently in a DAWIA coded billet?" sqref="AG1"/>
    <dataValidation allowBlank="1" showInputMessage="1" showErrorMessage="1" promptTitle="Question 15" prompt="Where is your next job?" sqref="AJ1"/>
    <dataValidation allowBlank="1" showInputMessage="1" showErrorMessage="1" promptTitle="Question 16" prompt="Using the following, please rank three of the factors as most important in your decision to leave your current position (if any). " sqref="AL1:AN1"/>
    <dataValidation allowBlank="1" showInputMessage="1" showErrorMessage="1" promptTitle="Question 17a" prompt="17a. [if yes]: Which Intern / Development Program were you apart of?" sqref="AP1"/>
    <dataValidation allowBlank="1" showInputMessage="1" showErrorMessage="1" promptTitle="Question 22" prompt="I was valued by my Supervisor" sqref="BC1"/>
    <dataValidation allowBlank="1" showInputMessage="1" showErrorMessage="1" promptTitle="Question 23" prompt="I was empowered by my Supervisor" sqref="BD1"/>
    <dataValidation allowBlank="1" showInputMessage="1" showErrorMessage="1" promptTitle="Question 24" prompt="I was treated fairly by my Supervisor." sqref="BE1"/>
    <dataValidation allowBlank="1" showInputMessage="1" showErrorMessage="1" promptTitle="Question 25" prompt="I was trusted by my Supervisor" sqref="BF1"/>
    <dataValidation allowBlank="1" showInputMessage="1" showErrorMessage="1" promptTitle="Question 27" prompt="Do you believe you were given opportunity for professional growth?" sqref="BJ1"/>
    <dataValidation allowBlank="1" showInputMessage="1" showErrorMessage="1" promptTitle="Question 28" prompt="Were there available opportunities for advancement?" sqref="BK1"/>
    <dataValidation allowBlank="1" showInputMessage="1" showErrorMessage="1" promptTitle="Question 29" prompt="Were you given opportunities to accept additional responsibilites?" sqref="BL1"/>
    <dataValidation allowBlank="1" showInputMessage="1" showErrorMessage="1" promptTitle="Question 30" prompt="Were your talents and skills fully utilized?" sqref="BM1"/>
    <dataValidation allowBlank="1" showInputMessage="1" showErrorMessage="1" promptTitle="Question 31" prompt="Other comments regarding training and professional growth opportunities." sqref="BN1"/>
    <dataValidation allowBlank="1" showInputMessage="1" showErrorMessage="1" promptTitle="Question 32" prompt="Would you recommend this organization to others looking for a job?" sqref="BO1"/>
    <dataValidation allowBlank="1" showInputMessage="1" showErrorMessage="1" promptTitle="Question 32a." prompt="[if yes] What is one thing that makes EXWC unique? " sqref="BP1"/>
    <dataValidation allowBlank="1" showInputMessage="1" showErrorMessage="1" promptTitle="Question 33" prompt="Please use space below to elaborate on answers from previous questions and/or provide comments (please limit to 700 characters)." sqref="BQ1"/>
    <dataValidation allowBlank="1" showInputMessage="1" showErrorMessage="1" promptTitle="Human Resource Personnel Comment" prompt="Human Resource Personnel Comments / Additional Remarks:" sqref="BR1"/>
    <dataValidation allowBlank="1" showInputMessage="1" showErrorMessage="1" promptTitle="Question 2" prompt="EXWC Start Date (MM/DD/YYYY)" sqref="H1:M1"/>
    <dataValidation allowBlank="1" showInputMessage="1" showErrorMessage="1" promptTitle="Question 3" prompt="EXWC Separation Date (MM/DD/YYYY)" sqref="N1:S1"/>
    <dataValidation allowBlank="1" showInputMessage="1" showErrorMessage="1" promptTitle="Question 19" prompt="How will your new job differ from your current job? (select up to 4 that apply)" sqref="AV1"/>
    <dataValidation allowBlank="1" showInputMessage="1" showErrorMessage="1" promptTitle="Question 20" prompt="Using the following, please rank three of the most important factors that EXWC could have done to prevent you from leaving (if any). " sqref="AW1:AY1"/>
    <dataValidation allowBlank="1" showInputMessage="1" showErrorMessage="1" promptTitle="Question 21" prompt="Using the following, please rank three of the most important factors that you liked best about working at EXWC (if any)." sqref="AZ1:BB1"/>
    <dataValidation allowBlank="1" showInputMessage="1" showErrorMessage="1" promptTitle="Question 17" prompt="In the past five years, were you (or are you currently) part of a Intern/Development Program?" sqref="AO1"/>
    <dataValidation allowBlank="1" showInputMessage="1" showErrorMessage="1" promptTitle="Question 18" prompt="Using the following, please rank three of the factors as most important that attacted you to your new job (if any)." sqref="AQ1:AS1"/>
    <dataValidation allowBlank="1" showInputMessage="1" showErrorMessage="1" promptTitle="Question 13a." prompt="[if yes]: What is the DAWIA acquisition category of your current position?" sqref="AH1"/>
    <dataValidation allowBlank="1" showInputMessage="1" showErrorMessage="1" promptTitle="Question 14" prompt="What is the DAWIA acquisition designation of your next job (if applicable)?" sqref="AI1"/>
    <dataValidation allowBlank="1" showInputMessage="1" showErrorMessage="1" promptTitle="Question 15a." prompt="If retiring, do you plan to pursue alternate employment?" sqref="AK1"/>
    <dataValidation allowBlank="1" showInputMessage="1" showErrorMessage="1" promptTitle="Question 19" prompt="How will your new job differ from your current job? (select up to three that apply)" sqref="AT1:AU1"/>
    <dataValidation allowBlank="1" showInputMessage="1" showErrorMessage="1" promptTitle="Question 26" prompt="Using the following, please rank three key things you would change if you were Commander for a day (if any)." sqref="BG1:BI1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L37"/>
  <sheetViews>
    <sheetView zoomScale="115" zoomScaleNormal="115" workbookViewId="0">
      <selection activeCell="B1" sqref="B1"/>
    </sheetView>
  </sheetViews>
  <sheetFormatPr defaultRowHeight="15" x14ac:dyDescent="0.25"/>
  <cols>
    <col min="1" max="1" width="11" bestFit="1" customWidth="1"/>
    <col min="2" max="2" width="19.85546875" bestFit="1" customWidth="1"/>
    <col min="3" max="3" width="20.85546875" bestFit="1" customWidth="1"/>
    <col min="4" max="4" width="27.42578125" bestFit="1" customWidth="1"/>
    <col min="5" max="5" width="14.140625" bestFit="1" customWidth="1"/>
    <col min="6" max="6" width="49.7109375" bestFit="1" customWidth="1"/>
    <col min="7" max="7" width="13.42578125" bestFit="1" customWidth="1"/>
    <col min="8" max="8" width="21.42578125" bestFit="1" customWidth="1"/>
    <col min="9" max="9" width="15" bestFit="1" customWidth="1"/>
    <col min="10" max="10" width="10.85546875" bestFit="1" customWidth="1"/>
    <col min="11" max="11" width="12.42578125" bestFit="1" customWidth="1"/>
    <col min="12" max="12" width="20" bestFit="1" customWidth="1"/>
  </cols>
  <sheetData>
    <row r="1" spans="1:12" s="31" customFormat="1" x14ac:dyDescent="0.25">
      <c r="A1" s="46" t="s">
        <v>19</v>
      </c>
      <c r="B1" s="46" t="s">
        <v>372</v>
      </c>
      <c r="C1" s="46" t="s">
        <v>20</v>
      </c>
      <c r="D1" s="46" t="s">
        <v>21</v>
      </c>
      <c r="E1" s="46" t="s">
        <v>22</v>
      </c>
      <c r="F1" s="46" t="s">
        <v>422</v>
      </c>
      <c r="G1" s="46" t="s">
        <v>92</v>
      </c>
      <c r="H1" s="46" t="s">
        <v>23</v>
      </c>
      <c r="I1" s="46" t="s">
        <v>24</v>
      </c>
      <c r="J1" s="46" t="s">
        <v>25</v>
      </c>
      <c r="K1" s="46" t="s">
        <v>26</v>
      </c>
      <c r="L1" s="46" t="s">
        <v>267</v>
      </c>
    </row>
    <row r="2" spans="1:12" x14ac:dyDescent="0.25">
      <c r="A2" s="1" t="s">
        <v>276</v>
      </c>
      <c r="B2" t="s">
        <v>268</v>
      </c>
      <c r="C2" s="33" t="s">
        <v>271</v>
      </c>
      <c r="D2" s="33" t="s">
        <v>303</v>
      </c>
      <c r="E2" s="32" t="s">
        <v>270</v>
      </c>
      <c r="F2" s="1" t="s">
        <v>13</v>
      </c>
      <c r="G2" s="33" t="s">
        <v>277</v>
      </c>
      <c r="H2" s="33" t="s">
        <v>275</v>
      </c>
      <c r="I2" s="33" t="s">
        <v>272</v>
      </c>
      <c r="J2" s="33" t="s">
        <v>274</v>
      </c>
      <c r="K2" s="32" t="s">
        <v>269</v>
      </c>
      <c r="L2" s="33" t="s">
        <v>315</v>
      </c>
    </row>
    <row r="3" spans="1:12" x14ac:dyDescent="0.25">
      <c r="A3" s="1" t="s">
        <v>247</v>
      </c>
      <c r="B3" t="s">
        <v>167</v>
      </c>
      <c r="C3" s="33" t="s">
        <v>195</v>
      </c>
      <c r="D3" s="33" t="s">
        <v>397</v>
      </c>
      <c r="E3" s="33" t="s">
        <v>184</v>
      </c>
      <c r="G3" s="35" t="s">
        <v>252</v>
      </c>
      <c r="H3" s="33" t="s">
        <v>241</v>
      </c>
      <c r="I3" s="33" t="s">
        <v>199</v>
      </c>
      <c r="J3" s="33" t="s">
        <v>229</v>
      </c>
      <c r="K3" s="32" t="s">
        <v>177</v>
      </c>
    </row>
    <row r="4" spans="1:12" x14ac:dyDescent="0.25">
      <c r="A4" s="1" t="s">
        <v>248</v>
      </c>
      <c r="B4" t="s">
        <v>168</v>
      </c>
      <c r="C4" s="33" t="s">
        <v>196</v>
      </c>
      <c r="D4" s="33" t="s">
        <v>398</v>
      </c>
      <c r="E4" s="33" t="s">
        <v>187</v>
      </c>
      <c r="F4" s="39"/>
      <c r="G4" s="35" t="s">
        <v>253</v>
      </c>
      <c r="H4" s="33" t="s">
        <v>242</v>
      </c>
      <c r="I4" s="33" t="s">
        <v>200</v>
      </c>
      <c r="J4" s="33" t="s">
        <v>231</v>
      </c>
      <c r="K4" s="32" t="s">
        <v>178</v>
      </c>
    </row>
    <row r="5" spans="1:12" x14ac:dyDescent="0.25">
      <c r="A5" s="1" t="s">
        <v>249</v>
      </c>
      <c r="B5" t="s">
        <v>170</v>
      </c>
      <c r="C5" s="33" t="s">
        <v>197</v>
      </c>
      <c r="D5" s="33" t="s">
        <v>399</v>
      </c>
      <c r="E5" s="33" t="s">
        <v>188</v>
      </c>
      <c r="F5" s="40"/>
      <c r="G5" s="33" t="s">
        <v>206</v>
      </c>
      <c r="H5" s="33" t="s">
        <v>243</v>
      </c>
      <c r="I5" s="33" t="s">
        <v>201</v>
      </c>
      <c r="J5" s="33" t="s">
        <v>232</v>
      </c>
      <c r="K5" s="32" t="s">
        <v>179</v>
      </c>
    </row>
    <row r="6" spans="1:12" x14ac:dyDescent="0.25">
      <c r="A6" s="1" t="s">
        <v>250</v>
      </c>
      <c r="B6" t="s">
        <v>173</v>
      </c>
      <c r="C6" s="33" t="s">
        <v>198</v>
      </c>
      <c r="D6" s="33" t="s">
        <v>400</v>
      </c>
      <c r="E6" s="33" t="s">
        <v>189</v>
      </c>
      <c r="F6" s="40"/>
      <c r="G6" s="35" t="s">
        <v>273</v>
      </c>
      <c r="H6" s="33" t="s">
        <v>244</v>
      </c>
      <c r="I6" s="33" t="s">
        <v>202</v>
      </c>
      <c r="J6" s="33" t="s">
        <v>233</v>
      </c>
      <c r="K6" s="33" t="s">
        <v>182</v>
      </c>
    </row>
    <row r="7" spans="1:12" x14ac:dyDescent="0.25">
      <c r="A7" s="1" t="s">
        <v>251</v>
      </c>
      <c r="B7" t="s">
        <v>174</v>
      </c>
      <c r="C7" s="33" t="s">
        <v>192</v>
      </c>
      <c r="E7" s="33" t="s">
        <v>185</v>
      </c>
      <c r="F7" s="40"/>
      <c r="G7" s="33" t="s">
        <v>207</v>
      </c>
      <c r="H7" s="33" t="s">
        <v>245</v>
      </c>
      <c r="I7" s="33" t="s">
        <v>203</v>
      </c>
      <c r="J7" s="33" t="s">
        <v>234</v>
      </c>
      <c r="K7" s="33" t="s">
        <v>183</v>
      </c>
    </row>
    <row r="8" spans="1:12" x14ac:dyDescent="0.25">
      <c r="A8" s="32"/>
      <c r="B8" t="s">
        <v>169</v>
      </c>
      <c r="C8" s="33" t="s">
        <v>193</v>
      </c>
      <c r="E8" s="33" t="s">
        <v>190</v>
      </c>
      <c r="F8" s="40"/>
      <c r="G8" s="33" t="s">
        <v>208</v>
      </c>
      <c r="H8" s="33" t="s">
        <v>246</v>
      </c>
      <c r="I8" s="33" t="s">
        <v>204</v>
      </c>
      <c r="J8" s="33" t="s">
        <v>235</v>
      </c>
      <c r="K8" s="33" t="s">
        <v>180</v>
      </c>
    </row>
    <row r="9" spans="1:12" x14ac:dyDescent="0.25">
      <c r="A9" s="32"/>
      <c r="B9" t="s">
        <v>171</v>
      </c>
      <c r="C9" s="33" t="s">
        <v>194</v>
      </c>
      <c r="E9" s="33" t="s">
        <v>191</v>
      </c>
      <c r="F9" s="40"/>
      <c r="G9" s="33" t="s">
        <v>210</v>
      </c>
      <c r="I9" s="33" t="s">
        <v>205</v>
      </c>
      <c r="J9" s="33" t="s">
        <v>230</v>
      </c>
      <c r="K9" s="33" t="s">
        <v>181</v>
      </c>
    </row>
    <row r="10" spans="1:12" x14ac:dyDescent="0.25">
      <c r="A10" s="41"/>
      <c r="B10" t="s">
        <v>172</v>
      </c>
      <c r="E10" s="33" t="s">
        <v>186</v>
      </c>
      <c r="F10" s="40"/>
      <c r="G10" s="33" t="s">
        <v>216</v>
      </c>
      <c r="J10" s="33" t="s">
        <v>236</v>
      </c>
    </row>
    <row r="11" spans="1:12" x14ac:dyDescent="0.25">
      <c r="A11" s="32"/>
      <c r="B11" t="s">
        <v>175</v>
      </c>
      <c r="F11" s="39"/>
      <c r="G11" s="33" t="s">
        <v>217</v>
      </c>
      <c r="J11" s="33" t="s">
        <v>237</v>
      </c>
    </row>
    <row r="12" spans="1:12" x14ac:dyDescent="0.25">
      <c r="A12" s="32"/>
      <c r="B12" t="s">
        <v>176</v>
      </c>
      <c r="F12" s="39"/>
      <c r="G12" s="33" t="s">
        <v>211</v>
      </c>
      <c r="J12" s="33" t="s">
        <v>238</v>
      </c>
    </row>
    <row r="13" spans="1:12" x14ac:dyDescent="0.25">
      <c r="A13" s="32"/>
      <c r="B13" s="7"/>
      <c r="F13" s="40"/>
      <c r="G13" s="33" t="s">
        <v>218</v>
      </c>
      <c r="J13" s="33" t="s">
        <v>239</v>
      </c>
    </row>
    <row r="14" spans="1:12" x14ac:dyDescent="0.25">
      <c r="A14" s="32"/>
      <c r="B14" s="7"/>
      <c r="F14" s="39"/>
      <c r="G14" s="33" t="s">
        <v>219</v>
      </c>
      <c r="J14" s="33" t="s">
        <v>240</v>
      </c>
    </row>
    <row r="15" spans="1:12" x14ac:dyDescent="0.25">
      <c r="A15" s="32"/>
      <c r="B15" s="7"/>
      <c r="F15" s="39"/>
      <c r="G15" s="33" t="s">
        <v>220</v>
      </c>
    </row>
    <row r="16" spans="1:12" x14ac:dyDescent="0.25">
      <c r="A16" s="32"/>
      <c r="B16" s="7"/>
      <c r="F16" s="39"/>
      <c r="G16" s="33" t="s">
        <v>212</v>
      </c>
    </row>
    <row r="17" spans="2:7" x14ac:dyDescent="0.25">
      <c r="B17" s="7"/>
      <c r="F17" s="39"/>
      <c r="G17" s="33" t="s">
        <v>221</v>
      </c>
    </row>
    <row r="18" spans="2:7" x14ac:dyDescent="0.25">
      <c r="B18" s="7"/>
      <c r="F18" s="39"/>
      <c r="G18" s="33" t="s">
        <v>222</v>
      </c>
    </row>
    <row r="19" spans="2:7" x14ac:dyDescent="0.25">
      <c r="B19" s="7"/>
      <c r="F19" s="39"/>
      <c r="G19" s="33" t="s">
        <v>223</v>
      </c>
    </row>
    <row r="20" spans="2:7" x14ac:dyDescent="0.25">
      <c r="B20" s="7"/>
      <c r="F20" s="39"/>
      <c r="G20" s="33" t="s">
        <v>209</v>
      </c>
    </row>
    <row r="21" spans="2:7" x14ac:dyDescent="0.25">
      <c r="B21" s="7"/>
      <c r="F21" s="39"/>
      <c r="G21" s="33" t="s">
        <v>213</v>
      </c>
    </row>
    <row r="22" spans="2:7" x14ac:dyDescent="0.25">
      <c r="B22" s="7"/>
      <c r="F22" s="39"/>
      <c r="G22" s="33" t="s">
        <v>214</v>
      </c>
    </row>
    <row r="23" spans="2:7" x14ac:dyDescent="0.25">
      <c r="B23" s="7"/>
      <c r="F23" s="39"/>
      <c r="G23" s="33" t="s">
        <v>224</v>
      </c>
    </row>
    <row r="24" spans="2:7" x14ac:dyDescent="0.25">
      <c r="B24" s="7"/>
      <c r="F24" s="39"/>
      <c r="G24" s="33" t="s">
        <v>226</v>
      </c>
    </row>
    <row r="25" spans="2:7" x14ac:dyDescent="0.25">
      <c r="B25" s="7"/>
      <c r="F25" s="39"/>
      <c r="G25" s="32" t="s">
        <v>225</v>
      </c>
    </row>
    <row r="26" spans="2:7" x14ac:dyDescent="0.25">
      <c r="B26" s="7"/>
      <c r="F26" s="39"/>
      <c r="G26" s="33" t="s">
        <v>215</v>
      </c>
    </row>
    <row r="27" spans="2:7" x14ac:dyDescent="0.25">
      <c r="B27" s="7"/>
      <c r="C27" s="31"/>
      <c r="F27" s="39"/>
      <c r="G27" s="33" t="s">
        <v>227</v>
      </c>
    </row>
    <row r="28" spans="2:7" x14ac:dyDescent="0.25">
      <c r="B28" s="7"/>
      <c r="F28" s="39"/>
      <c r="G28" s="33" t="s">
        <v>228</v>
      </c>
    </row>
    <row r="29" spans="2:7" x14ac:dyDescent="0.25">
      <c r="B29" s="7"/>
      <c r="F29" s="39"/>
    </row>
    <row r="30" spans="2:7" x14ac:dyDescent="0.25">
      <c r="B30" s="7"/>
      <c r="F30" s="39"/>
    </row>
    <row r="31" spans="2:7" x14ac:dyDescent="0.25">
      <c r="B31" s="7"/>
      <c r="E31" s="33"/>
    </row>
    <row r="32" spans="2:7" x14ac:dyDescent="0.25">
      <c r="B32" s="7"/>
      <c r="E32" s="33"/>
    </row>
    <row r="33" spans="2:5" x14ac:dyDescent="0.25">
      <c r="B33" s="7"/>
      <c r="D33" s="31"/>
      <c r="E33" s="33"/>
    </row>
    <row r="34" spans="2:5" x14ac:dyDescent="0.25">
      <c r="B34" s="7"/>
      <c r="E34" s="33"/>
    </row>
    <row r="35" spans="2:5" x14ac:dyDescent="0.25">
      <c r="B35" s="7"/>
      <c r="E35" s="33"/>
    </row>
    <row r="36" spans="2:5" x14ac:dyDescent="0.25">
      <c r="B36" s="7"/>
      <c r="E36" s="33"/>
    </row>
    <row r="37" spans="2:5" x14ac:dyDescent="0.25">
      <c r="B37" s="7"/>
      <c r="E37" s="33"/>
    </row>
  </sheetData>
  <sheetProtection selectLockedCells="1" selectUnlockedCells="1"/>
  <sortState ref="G2:G29">
    <sortCondition ref="G2"/>
  </sortState>
  <dataValidations count="1">
    <dataValidation allowBlank="1" showInputMessage="1" showErrorMessage="1" promptTitle="7a." prompt="Specific code:" sqref="A1:L1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C00000"/>
  </sheetPr>
  <dimension ref="A1:AD65"/>
  <sheetViews>
    <sheetView topLeftCell="M1" zoomScale="160" zoomScaleNormal="160" workbookViewId="0">
      <selection activeCell="O1" sqref="O1"/>
    </sheetView>
  </sheetViews>
  <sheetFormatPr defaultRowHeight="15" x14ac:dyDescent="0.25"/>
  <cols>
    <col min="1" max="1" width="11" style="32" bestFit="1" customWidth="1"/>
    <col min="2" max="2" width="21" style="32" bestFit="1" customWidth="1"/>
    <col min="3" max="3" width="31" style="32" bestFit="1" customWidth="1"/>
    <col min="4" max="4" width="56.140625" style="32" bestFit="1" customWidth="1"/>
    <col min="5" max="5" width="9.85546875" style="32" customWidth="1"/>
    <col min="6" max="6" width="6.28515625" style="32" bestFit="1" customWidth="1"/>
    <col min="7" max="7" width="49.7109375" style="32" bestFit="1" customWidth="1"/>
    <col min="8" max="8" width="10.28515625" style="32" bestFit="1" customWidth="1"/>
    <col min="9" max="9" width="16.140625" style="32" bestFit="1" customWidth="1"/>
    <col min="10" max="10" width="8" style="32" bestFit="1" customWidth="1"/>
    <col min="11" max="11" width="38" style="32" bestFit="1" customWidth="1"/>
    <col min="12" max="12" width="50.5703125" style="32" bestFit="1" customWidth="1"/>
    <col min="13" max="13" width="25" style="32" bestFit="1" customWidth="1"/>
    <col min="14" max="14" width="27.28515625" style="32" bestFit="1" customWidth="1"/>
    <col min="15" max="15" width="47.42578125" style="32" bestFit="1" customWidth="1"/>
    <col min="16" max="16" width="4" style="32" bestFit="1" customWidth="1"/>
    <col min="17" max="17" width="44.7109375" style="32" bestFit="1" customWidth="1"/>
    <col min="18" max="18" width="36" style="32" bestFit="1" customWidth="1"/>
    <col min="19" max="19" width="45.7109375" style="32" bestFit="1" customWidth="1"/>
    <col min="20" max="20" width="43.85546875" style="32" bestFit="1" customWidth="1"/>
    <col min="21" max="21" width="25.85546875" style="32" bestFit="1" customWidth="1"/>
    <col min="22" max="22" width="14.140625" style="32" bestFit="1" customWidth="1"/>
    <col min="23" max="23" width="28.28515625" style="32" bestFit="1" customWidth="1"/>
    <col min="24" max="24" width="39.5703125" style="32" bestFit="1" customWidth="1"/>
    <col min="25" max="25" width="38.28515625" style="32" bestFit="1" customWidth="1"/>
    <col min="26" max="26" width="4.5703125" style="43" bestFit="1" customWidth="1"/>
    <col min="27" max="27" width="5.42578125" style="43" bestFit="1" customWidth="1"/>
    <col min="28" max="28" width="3.85546875" style="43" bestFit="1" customWidth="1"/>
    <col min="29" max="29" width="13.140625" style="43" bestFit="1" customWidth="1"/>
    <col min="30" max="30" width="11.28515625" style="43" bestFit="1" customWidth="1"/>
    <col min="31" max="16384" width="9.140625" style="43"/>
  </cols>
  <sheetData>
    <row r="1" spans="1:30" s="48" customFormat="1" ht="25.5" x14ac:dyDescent="0.2">
      <c r="A1" s="47" t="s">
        <v>423</v>
      </c>
      <c r="B1" s="47" t="s">
        <v>404</v>
      </c>
      <c r="C1" s="47" t="s">
        <v>405</v>
      </c>
      <c r="D1" s="47" t="s">
        <v>406</v>
      </c>
      <c r="E1" s="47" t="s">
        <v>407</v>
      </c>
      <c r="F1" s="47" t="s">
        <v>408</v>
      </c>
      <c r="G1" s="47" t="s">
        <v>409</v>
      </c>
      <c r="H1" s="47" t="s">
        <v>410</v>
      </c>
      <c r="I1" s="47" t="s">
        <v>411</v>
      </c>
      <c r="J1" s="47" t="s">
        <v>412</v>
      </c>
      <c r="K1" s="47" t="s">
        <v>413</v>
      </c>
      <c r="L1" s="47" t="s">
        <v>414</v>
      </c>
      <c r="M1" s="47" t="s">
        <v>415</v>
      </c>
      <c r="N1" s="47" t="s">
        <v>416</v>
      </c>
      <c r="O1" s="47" t="s">
        <v>503</v>
      </c>
      <c r="P1" s="47"/>
      <c r="Q1" s="47" t="s">
        <v>504</v>
      </c>
      <c r="R1" s="47" t="s">
        <v>505</v>
      </c>
      <c r="S1" s="47" t="s">
        <v>506</v>
      </c>
      <c r="T1" s="47" t="s">
        <v>507</v>
      </c>
      <c r="U1" s="47"/>
      <c r="V1" s="47"/>
      <c r="W1" s="47"/>
      <c r="X1" s="47" t="s">
        <v>495</v>
      </c>
      <c r="Y1" s="47"/>
      <c r="Z1" s="138" t="s">
        <v>316</v>
      </c>
      <c r="AA1" s="139"/>
      <c r="AB1" s="139"/>
      <c r="AC1" s="140"/>
      <c r="AD1" s="60" t="s">
        <v>317</v>
      </c>
    </row>
    <row r="2" spans="1:30" x14ac:dyDescent="0.25">
      <c r="A2" s="44">
        <v>25569</v>
      </c>
      <c r="B2" s="32" t="s">
        <v>308</v>
      </c>
      <c r="C2" s="32" t="s">
        <v>311</v>
      </c>
      <c r="D2" s="32" t="s">
        <v>135</v>
      </c>
      <c r="E2" s="33" t="s">
        <v>4</v>
      </c>
      <c r="F2" s="32">
        <v>47408</v>
      </c>
      <c r="G2" s="32" t="s">
        <v>19</v>
      </c>
      <c r="H2" s="33" t="s">
        <v>13</v>
      </c>
      <c r="I2" s="32" t="s">
        <v>28</v>
      </c>
      <c r="J2" s="32" t="s">
        <v>166</v>
      </c>
      <c r="K2" s="32" t="s">
        <v>160</v>
      </c>
      <c r="L2" s="32" t="s">
        <v>320</v>
      </c>
      <c r="M2" s="32" t="s">
        <v>259</v>
      </c>
      <c r="N2" s="32" t="s">
        <v>254</v>
      </c>
      <c r="O2" s="32" t="s">
        <v>335</v>
      </c>
      <c r="P2" s="32" t="s">
        <v>52</v>
      </c>
      <c r="Q2" s="32" t="s">
        <v>282</v>
      </c>
      <c r="R2" s="32" t="s">
        <v>54</v>
      </c>
      <c r="S2" s="32" t="s">
        <v>91</v>
      </c>
      <c r="T2" s="32" t="s">
        <v>64</v>
      </c>
      <c r="U2" s="32" t="s">
        <v>95</v>
      </c>
      <c r="V2" s="32" t="s">
        <v>80</v>
      </c>
      <c r="W2" s="32" t="s">
        <v>367</v>
      </c>
      <c r="X2" s="32" t="s">
        <v>89</v>
      </c>
      <c r="Z2" s="55">
        <v>10</v>
      </c>
      <c r="AA2" s="45" t="s">
        <v>287</v>
      </c>
      <c r="AB2" s="45" t="s">
        <v>288</v>
      </c>
      <c r="AC2" s="56" t="s">
        <v>3</v>
      </c>
      <c r="AD2" s="61">
        <v>0</v>
      </c>
    </row>
    <row r="3" spans="1:30" x14ac:dyDescent="0.25">
      <c r="A3" s="44">
        <v>55153</v>
      </c>
      <c r="B3" s="32" t="s">
        <v>304</v>
      </c>
      <c r="C3" s="32" t="s">
        <v>312</v>
      </c>
      <c r="D3" s="32" t="s">
        <v>136</v>
      </c>
      <c r="E3" s="33" t="s">
        <v>5</v>
      </c>
      <c r="F3" s="32">
        <v>62583</v>
      </c>
      <c r="G3" s="32" t="s">
        <v>372</v>
      </c>
      <c r="H3" s="32" t="s">
        <v>276</v>
      </c>
      <c r="I3" s="33" t="s">
        <v>29</v>
      </c>
      <c r="J3" s="32" t="s">
        <v>165</v>
      </c>
      <c r="K3" s="32" t="s">
        <v>161</v>
      </c>
      <c r="L3" s="32" t="s">
        <v>321</v>
      </c>
      <c r="M3" s="33" t="s">
        <v>353</v>
      </c>
      <c r="N3" s="32" t="s">
        <v>255</v>
      </c>
      <c r="O3" s="32" t="s">
        <v>49</v>
      </c>
      <c r="P3" s="32" t="s">
        <v>53</v>
      </c>
      <c r="Q3" s="32" t="s">
        <v>318</v>
      </c>
      <c r="R3" s="32" t="s">
        <v>60</v>
      </c>
      <c r="S3" s="32" t="s">
        <v>61</v>
      </c>
      <c r="T3" s="32" t="s">
        <v>94</v>
      </c>
      <c r="U3" s="32" t="s">
        <v>73</v>
      </c>
      <c r="V3" s="32" t="s">
        <v>79</v>
      </c>
      <c r="W3" s="32" t="s">
        <v>87</v>
      </c>
      <c r="X3" s="32" t="s">
        <v>90</v>
      </c>
      <c r="Z3" s="55">
        <v>11</v>
      </c>
      <c r="AA3" s="45" t="s">
        <v>289</v>
      </c>
      <c r="AB3" s="45" t="s">
        <v>288</v>
      </c>
      <c r="AC3" s="56" t="s">
        <v>3</v>
      </c>
      <c r="AD3" s="61">
        <v>700</v>
      </c>
    </row>
    <row r="4" spans="1:30" x14ac:dyDescent="0.25">
      <c r="B4" s="32" t="s">
        <v>305</v>
      </c>
      <c r="C4" s="32" t="s">
        <v>310</v>
      </c>
      <c r="D4" s="32" t="s">
        <v>137</v>
      </c>
      <c r="E4" s="33" t="s">
        <v>6</v>
      </c>
      <c r="F4" s="32">
        <v>69218</v>
      </c>
      <c r="G4" s="32" t="s">
        <v>20</v>
      </c>
      <c r="H4" s="32" t="s">
        <v>268</v>
      </c>
      <c r="I4" s="33" t="s">
        <v>30</v>
      </c>
      <c r="J4" s="33"/>
      <c r="K4" s="32" t="s">
        <v>162</v>
      </c>
      <c r="L4" s="33" t="s">
        <v>322</v>
      </c>
      <c r="M4" s="32" t="s">
        <v>352</v>
      </c>
      <c r="N4" s="32" t="s">
        <v>256</v>
      </c>
      <c r="O4" s="32" t="s">
        <v>359</v>
      </c>
      <c r="Q4" s="32" t="s">
        <v>284</v>
      </c>
      <c r="R4" s="32" t="s">
        <v>362</v>
      </c>
      <c r="S4" s="32" t="s">
        <v>401</v>
      </c>
      <c r="T4" s="32" t="s">
        <v>67</v>
      </c>
      <c r="U4" s="32" t="s">
        <v>365</v>
      </c>
      <c r="V4" s="32" t="s">
        <v>78</v>
      </c>
      <c r="W4" s="32" t="s">
        <v>85</v>
      </c>
      <c r="X4" s="32" t="s">
        <v>403</v>
      </c>
      <c r="Z4" s="55">
        <v>12</v>
      </c>
      <c r="AA4" s="45" t="s">
        <v>290</v>
      </c>
      <c r="AB4" s="45" t="s">
        <v>288</v>
      </c>
      <c r="AC4" s="56" t="s">
        <v>3</v>
      </c>
      <c r="AD4" s="61"/>
    </row>
    <row r="5" spans="1:30" x14ac:dyDescent="0.25">
      <c r="B5" s="32" t="s">
        <v>306</v>
      </c>
      <c r="C5" s="32" t="s">
        <v>309</v>
      </c>
      <c r="D5" s="32" t="s">
        <v>138</v>
      </c>
      <c r="E5" s="33" t="s">
        <v>7</v>
      </c>
      <c r="G5" s="32" t="s">
        <v>21</v>
      </c>
      <c r="H5" s="32" t="s">
        <v>271</v>
      </c>
      <c r="I5" s="33" t="s">
        <v>31</v>
      </c>
      <c r="K5" s="32" t="s">
        <v>164</v>
      </c>
      <c r="L5" s="32" t="s">
        <v>323</v>
      </c>
      <c r="M5" s="32" t="s">
        <v>264</v>
      </c>
      <c r="O5" s="32" t="s">
        <v>336</v>
      </c>
      <c r="Q5" s="32" t="s">
        <v>283</v>
      </c>
      <c r="R5" s="32" t="s">
        <v>55</v>
      </c>
      <c r="S5" s="32" t="s">
        <v>402</v>
      </c>
      <c r="T5" s="32" t="s">
        <v>366</v>
      </c>
      <c r="U5" s="32" t="s">
        <v>75</v>
      </c>
      <c r="V5" s="32" t="s">
        <v>77</v>
      </c>
      <c r="W5" s="32" t="s">
        <v>88</v>
      </c>
      <c r="X5" s="32" t="s">
        <v>350</v>
      </c>
      <c r="Z5" s="55">
        <v>1</v>
      </c>
      <c r="AA5" s="45" t="s">
        <v>291</v>
      </c>
      <c r="AB5" s="45" t="s">
        <v>292</v>
      </c>
      <c r="AC5" s="56" t="s">
        <v>2</v>
      </c>
      <c r="AD5" s="61"/>
    </row>
    <row r="6" spans="1:30" x14ac:dyDescent="0.25">
      <c r="B6" s="32" t="s">
        <v>307</v>
      </c>
      <c r="D6" s="32" t="s">
        <v>120</v>
      </c>
      <c r="E6" s="33" t="s">
        <v>8</v>
      </c>
      <c r="G6" s="32" t="s">
        <v>22</v>
      </c>
      <c r="H6" s="32" t="s">
        <v>303</v>
      </c>
      <c r="I6" s="33" t="s">
        <v>32</v>
      </c>
      <c r="K6" s="32" t="s">
        <v>163</v>
      </c>
      <c r="L6" s="32" t="s">
        <v>331</v>
      </c>
      <c r="M6" s="32" t="s">
        <v>260</v>
      </c>
      <c r="O6" s="32" t="s">
        <v>338</v>
      </c>
      <c r="Q6" s="32" t="s">
        <v>285</v>
      </c>
      <c r="R6" s="32" t="s">
        <v>341</v>
      </c>
      <c r="S6" s="34" t="s">
        <v>344</v>
      </c>
      <c r="T6" s="32" t="s">
        <v>93</v>
      </c>
      <c r="U6" s="32" t="s">
        <v>71</v>
      </c>
      <c r="V6" s="32" t="s">
        <v>76</v>
      </c>
      <c r="W6" s="32" t="s">
        <v>82</v>
      </c>
      <c r="X6" s="32" t="s">
        <v>349</v>
      </c>
      <c r="Z6" s="55">
        <v>2</v>
      </c>
      <c r="AA6" s="45" t="s">
        <v>293</v>
      </c>
      <c r="AB6" s="45" t="s">
        <v>292</v>
      </c>
      <c r="AC6" s="56" t="s">
        <v>2</v>
      </c>
      <c r="AD6" s="61"/>
    </row>
    <row r="7" spans="1:30" x14ac:dyDescent="0.25">
      <c r="D7" s="32" t="s">
        <v>96</v>
      </c>
      <c r="E7" s="33" t="s">
        <v>9</v>
      </c>
      <c r="G7" s="32" t="s">
        <v>371</v>
      </c>
      <c r="H7" s="32" t="s">
        <v>272</v>
      </c>
      <c r="I7" s="33" t="s">
        <v>33</v>
      </c>
      <c r="K7" s="32" t="s">
        <v>27</v>
      </c>
      <c r="L7" s="32" t="s">
        <v>324</v>
      </c>
      <c r="M7" s="32" t="s">
        <v>262</v>
      </c>
      <c r="O7" s="32" t="s">
        <v>48</v>
      </c>
      <c r="Q7" s="32" t="s">
        <v>286</v>
      </c>
      <c r="R7" s="32" t="s">
        <v>339</v>
      </c>
      <c r="S7" s="32" t="s">
        <v>342</v>
      </c>
      <c r="T7" s="32" t="s">
        <v>66</v>
      </c>
      <c r="U7" s="32" t="s">
        <v>50</v>
      </c>
      <c r="W7" s="32" t="s">
        <v>347</v>
      </c>
      <c r="X7" s="32" t="s">
        <v>348</v>
      </c>
      <c r="Z7" s="55">
        <v>3</v>
      </c>
      <c r="AA7" s="45" t="s">
        <v>294</v>
      </c>
      <c r="AB7" s="45" t="s">
        <v>292</v>
      </c>
      <c r="AC7" s="56" t="s">
        <v>2</v>
      </c>
      <c r="AD7" s="61"/>
    </row>
    <row r="8" spans="1:30" x14ac:dyDescent="0.25">
      <c r="D8" s="32" t="s">
        <v>139</v>
      </c>
      <c r="E8" s="33" t="s">
        <v>10</v>
      </c>
      <c r="G8" s="32" t="s">
        <v>92</v>
      </c>
      <c r="H8" s="32" t="s">
        <v>270</v>
      </c>
      <c r="I8" s="33" t="s">
        <v>34</v>
      </c>
      <c r="L8" s="32" t="s">
        <v>325</v>
      </c>
      <c r="M8" s="32" t="s">
        <v>278</v>
      </c>
      <c r="O8" s="32" t="s">
        <v>337</v>
      </c>
      <c r="Q8" s="32" t="s">
        <v>319</v>
      </c>
      <c r="R8" s="32" t="s">
        <v>334</v>
      </c>
      <c r="S8" s="32" t="s">
        <v>62</v>
      </c>
      <c r="T8" s="32" t="s">
        <v>346</v>
      </c>
      <c r="U8" s="32" t="s">
        <v>74</v>
      </c>
      <c r="W8" s="32" t="s">
        <v>86</v>
      </c>
      <c r="X8" s="32" t="s">
        <v>27</v>
      </c>
      <c r="Z8" s="55">
        <v>4</v>
      </c>
      <c r="AA8" s="45" t="s">
        <v>295</v>
      </c>
      <c r="AB8" s="45" t="s">
        <v>296</v>
      </c>
      <c r="AC8" s="56" t="s">
        <v>1</v>
      </c>
      <c r="AD8" s="61"/>
    </row>
    <row r="9" spans="1:30" x14ac:dyDescent="0.25">
      <c r="D9" s="32" t="s">
        <v>121</v>
      </c>
      <c r="E9" s="33" t="s">
        <v>11</v>
      </c>
      <c r="G9" s="32" t="s">
        <v>23</v>
      </c>
      <c r="H9" s="32" t="s">
        <v>313</v>
      </c>
      <c r="I9" s="33" t="s">
        <v>35</v>
      </c>
      <c r="L9" s="32" t="s">
        <v>326</v>
      </c>
      <c r="M9" s="32" t="s">
        <v>261</v>
      </c>
      <c r="O9" s="32" t="s">
        <v>50</v>
      </c>
      <c r="R9" s="32" t="s">
        <v>58</v>
      </c>
      <c r="S9" s="32" t="s">
        <v>63</v>
      </c>
      <c r="T9" s="32" t="s">
        <v>363</v>
      </c>
      <c r="U9" s="32" t="s">
        <v>72</v>
      </c>
      <c r="W9" s="32" t="s">
        <v>84</v>
      </c>
      <c r="Z9" s="55">
        <v>5</v>
      </c>
      <c r="AA9" s="45" t="s">
        <v>297</v>
      </c>
      <c r="AB9" s="45" t="s">
        <v>296</v>
      </c>
      <c r="AC9" s="56" t="s">
        <v>1</v>
      </c>
      <c r="AD9" s="61"/>
    </row>
    <row r="10" spans="1:30" x14ac:dyDescent="0.25">
      <c r="D10" s="32" t="s">
        <v>140</v>
      </c>
      <c r="E10" s="33" t="s">
        <v>12</v>
      </c>
      <c r="G10" s="32" t="s">
        <v>24</v>
      </c>
      <c r="H10" s="32" t="s">
        <v>275</v>
      </c>
      <c r="I10" s="33" t="s">
        <v>36</v>
      </c>
      <c r="L10" s="32" t="s">
        <v>327</v>
      </c>
      <c r="M10" s="32" t="s">
        <v>266</v>
      </c>
      <c r="O10" s="32" t="s">
        <v>47</v>
      </c>
      <c r="R10" s="32" t="s">
        <v>340</v>
      </c>
      <c r="S10" s="32" t="s">
        <v>343</v>
      </c>
      <c r="T10" s="32" t="s">
        <v>65</v>
      </c>
      <c r="U10" s="32" t="s">
        <v>27</v>
      </c>
      <c r="W10" s="32" t="s">
        <v>83</v>
      </c>
      <c r="Z10" s="55">
        <v>6</v>
      </c>
      <c r="AA10" s="45" t="s">
        <v>298</v>
      </c>
      <c r="AB10" s="45" t="s">
        <v>296</v>
      </c>
      <c r="AC10" s="56" t="s">
        <v>1</v>
      </c>
      <c r="AD10" s="61"/>
    </row>
    <row r="11" spans="1:30" x14ac:dyDescent="0.25">
      <c r="D11" s="32" t="s">
        <v>141</v>
      </c>
      <c r="E11" s="33" t="s">
        <v>13</v>
      </c>
      <c r="G11" s="32" t="s">
        <v>25</v>
      </c>
      <c r="H11" s="32" t="s">
        <v>314</v>
      </c>
      <c r="I11" s="33" t="s">
        <v>37</v>
      </c>
      <c r="L11" s="32" t="s">
        <v>333</v>
      </c>
      <c r="M11" s="32" t="s">
        <v>279</v>
      </c>
      <c r="O11" s="32" t="s">
        <v>361</v>
      </c>
      <c r="R11" s="32" t="s">
        <v>56</v>
      </c>
      <c r="S11" s="32" t="s">
        <v>27</v>
      </c>
      <c r="T11" s="32" t="s">
        <v>345</v>
      </c>
      <c r="W11" s="32" t="s">
        <v>81</v>
      </c>
      <c r="Z11" s="55">
        <v>7</v>
      </c>
      <c r="AA11" s="45" t="s">
        <v>299</v>
      </c>
      <c r="AB11" s="45" t="s">
        <v>300</v>
      </c>
      <c r="AC11" s="56" t="s">
        <v>0</v>
      </c>
      <c r="AD11" s="61"/>
    </row>
    <row r="12" spans="1:30" x14ac:dyDescent="0.25">
      <c r="D12" s="32" t="s">
        <v>122</v>
      </c>
      <c r="E12" s="33" t="s">
        <v>14</v>
      </c>
      <c r="G12" s="32" t="s">
        <v>26</v>
      </c>
      <c r="H12" s="32" t="s">
        <v>269</v>
      </c>
      <c r="I12" s="33" t="s">
        <v>38</v>
      </c>
      <c r="L12" s="32" t="s">
        <v>328</v>
      </c>
      <c r="M12" s="32" t="s">
        <v>263</v>
      </c>
      <c r="O12" s="32" t="s">
        <v>360</v>
      </c>
      <c r="R12" s="32" t="s">
        <v>57</v>
      </c>
      <c r="T12" s="32" t="s">
        <v>68</v>
      </c>
      <c r="W12" s="32" t="s">
        <v>27</v>
      </c>
      <c r="Z12" s="55">
        <v>8</v>
      </c>
      <c r="AA12" s="45" t="s">
        <v>301</v>
      </c>
      <c r="AB12" s="45" t="s">
        <v>300</v>
      </c>
      <c r="AC12" s="56" t="s">
        <v>0</v>
      </c>
      <c r="AD12" s="61"/>
    </row>
    <row r="13" spans="1:30" x14ac:dyDescent="0.25">
      <c r="D13" s="32" t="s">
        <v>123</v>
      </c>
      <c r="E13" s="33" t="s">
        <v>15</v>
      </c>
      <c r="G13" s="32" t="s">
        <v>267</v>
      </c>
      <c r="H13" s="32" t="s">
        <v>315</v>
      </c>
      <c r="I13" s="33" t="s">
        <v>39</v>
      </c>
      <c r="L13" s="32" t="s">
        <v>329</v>
      </c>
      <c r="M13" s="32" t="s">
        <v>281</v>
      </c>
      <c r="O13" s="32" t="s">
        <v>51</v>
      </c>
      <c r="R13" s="32" t="s">
        <v>59</v>
      </c>
      <c r="T13" s="32" t="s">
        <v>69</v>
      </c>
      <c r="Z13" s="55">
        <v>9</v>
      </c>
      <c r="AA13" s="45" t="s">
        <v>302</v>
      </c>
      <c r="AB13" s="45" t="s">
        <v>300</v>
      </c>
      <c r="AC13" s="56" t="s">
        <v>0</v>
      </c>
      <c r="AD13" s="61"/>
    </row>
    <row r="14" spans="1:30" ht="15.75" thickBot="1" x14ac:dyDescent="0.3">
      <c r="D14" s="32" t="s">
        <v>124</v>
      </c>
      <c r="E14" s="33" t="s">
        <v>16</v>
      </c>
      <c r="I14" s="33" t="s">
        <v>40</v>
      </c>
      <c r="L14" s="32" t="s">
        <v>330</v>
      </c>
      <c r="M14" s="32" t="s">
        <v>280</v>
      </c>
      <c r="O14" s="32" t="s">
        <v>27</v>
      </c>
      <c r="T14" s="32" t="s">
        <v>70</v>
      </c>
      <c r="Z14" s="57" t="s">
        <v>450</v>
      </c>
      <c r="AA14" s="58" t="s">
        <v>450</v>
      </c>
      <c r="AB14" s="58" t="s">
        <v>450</v>
      </c>
      <c r="AC14" s="59" t="s">
        <v>450</v>
      </c>
      <c r="AD14" s="62"/>
    </row>
    <row r="15" spans="1:30" x14ac:dyDescent="0.25">
      <c r="C15" s="46"/>
      <c r="D15" s="32" t="s">
        <v>142</v>
      </c>
      <c r="E15" s="33" t="s">
        <v>17</v>
      </c>
      <c r="I15" s="33" t="s">
        <v>41</v>
      </c>
      <c r="L15" s="32" t="s">
        <v>332</v>
      </c>
      <c r="M15" s="32" t="s">
        <v>265</v>
      </c>
      <c r="T15" s="32" t="s">
        <v>27</v>
      </c>
    </row>
    <row r="16" spans="1:30" x14ac:dyDescent="0.25">
      <c r="D16" s="32" t="s">
        <v>143</v>
      </c>
      <c r="E16" s="33" t="s">
        <v>18</v>
      </c>
      <c r="I16" s="33" t="s">
        <v>42</v>
      </c>
      <c r="M16" s="32" t="s">
        <v>355</v>
      </c>
    </row>
    <row r="17" spans="4:13" x14ac:dyDescent="0.25">
      <c r="D17" s="32" t="s">
        <v>125</v>
      </c>
      <c r="E17" s="33">
        <v>15</v>
      </c>
      <c r="I17" s="33" t="s">
        <v>351</v>
      </c>
      <c r="M17" s="32" t="s">
        <v>354</v>
      </c>
    </row>
    <row r="18" spans="4:13" x14ac:dyDescent="0.25">
      <c r="D18" s="32" t="s">
        <v>144</v>
      </c>
      <c r="I18" s="33" t="s">
        <v>43</v>
      </c>
      <c r="M18" s="32" t="s">
        <v>257</v>
      </c>
    </row>
    <row r="19" spans="4:13" x14ac:dyDescent="0.25">
      <c r="D19" s="32" t="s">
        <v>126</v>
      </c>
      <c r="M19" s="32" t="s">
        <v>47</v>
      </c>
    </row>
    <row r="20" spans="4:13" x14ac:dyDescent="0.25">
      <c r="D20" s="32" t="s">
        <v>97</v>
      </c>
      <c r="M20" s="32" t="s">
        <v>364</v>
      </c>
    </row>
    <row r="21" spans="4:13" x14ac:dyDescent="0.25">
      <c r="D21" s="32" t="s">
        <v>145</v>
      </c>
      <c r="M21" s="32" t="s">
        <v>258</v>
      </c>
    </row>
    <row r="22" spans="4:13" x14ac:dyDescent="0.25">
      <c r="D22" s="32" t="s">
        <v>127</v>
      </c>
      <c r="M22" s="32" t="s">
        <v>356</v>
      </c>
    </row>
    <row r="23" spans="4:13" x14ac:dyDescent="0.25">
      <c r="D23" s="32" t="s">
        <v>146</v>
      </c>
      <c r="M23" s="32" t="s">
        <v>357</v>
      </c>
    </row>
    <row r="24" spans="4:13" x14ac:dyDescent="0.25">
      <c r="D24" s="32" t="s">
        <v>147</v>
      </c>
      <c r="M24" s="32" t="s">
        <v>27</v>
      </c>
    </row>
    <row r="25" spans="4:13" x14ac:dyDescent="0.25">
      <c r="D25" s="32" t="s">
        <v>98</v>
      </c>
    </row>
    <row r="26" spans="4:13" x14ac:dyDescent="0.25">
      <c r="D26" s="32" t="s">
        <v>131</v>
      </c>
    </row>
    <row r="27" spans="4:13" x14ac:dyDescent="0.25">
      <c r="D27" s="32" t="s">
        <v>99</v>
      </c>
    </row>
    <row r="28" spans="4:13" x14ac:dyDescent="0.25">
      <c r="D28" s="32" t="s">
        <v>100</v>
      </c>
    </row>
    <row r="29" spans="4:13" x14ac:dyDescent="0.25">
      <c r="D29" s="32" t="s">
        <v>101</v>
      </c>
    </row>
    <row r="30" spans="4:13" x14ac:dyDescent="0.25">
      <c r="D30" s="32" t="s">
        <v>102</v>
      </c>
    </row>
    <row r="31" spans="4:13" x14ac:dyDescent="0.25">
      <c r="D31" s="32" t="s">
        <v>103</v>
      </c>
    </row>
    <row r="32" spans="4:13" x14ac:dyDescent="0.25">
      <c r="D32" s="32" t="s">
        <v>104</v>
      </c>
    </row>
    <row r="33" spans="4:4" x14ac:dyDescent="0.25">
      <c r="D33" s="32" t="s">
        <v>105</v>
      </c>
    </row>
    <row r="34" spans="4:4" x14ac:dyDescent="0.25">
      <c r="D34" s="32" t="s">
        <v>106</v>
      </c>
    </row>
    <row r="35" spans="4:4" x14ac:dyDescent="0.25">
      <c r="D35" s="32" t="s">
        <v>107</v>
      </c>
    </row>
    <row r="36" spans="4:4" x14ac:dyDescent="0.25">
      <c r="D36" s="32" t="s">
        <v>108</v>
      </c>
    </row>
    <row r="37" spans="4:4" x14ac:dyDescent="0.25">
      <c r="D37" s="32" t="s">
        <v>132</v>
      </c>
    </row>
    <row r="38" spans="4:4" x14ac:dyDescent="0.25">
      <c r="D38" s="32" t="s">
        <v>109</v>
      </c>
    </row>
    <row r="39" spans="4:4" x14ac:dyDescent="0.25">
      <c r="D39" s="32" t="s">
        <v>110</v>
      </c>
    </row>
    <row r="40" spans="4:4" x14ac:dyDescent="0.25">
      <c r="D40" s="32" t="s">
        <v>111</v>
      </c>
    </row>
    <row r="41" spans="4:4" x14ac:dyDescent="0.25">
      <c r="D41" s="32" t="s">
        <v>148</v>
      </c>
    </row>
    <row r="42" spans="4:4" x14ac:dyDescent="0.25">
      <c r="D42" s="32" t="s">
        <v>149</v>
      </c>
    </row>
    <row r="43" spans="4:4" x14ac:dyDescent="0.25">
      <c r="D43" s="32" t="s">
        <v>128</v>
      </c>
    </row>
    <row r="44" spans="4:4" x14ac:dyDescent="0.25">
      <c r="D44" s="32" t="s">
        <v>150</v>
      </c>
    </row>
    <row r="45" spans="4:4" x14ac:dyDescent="0.25">
      <c r="D45" s="32" t="s">
        <v>151</v>
      </c>
    </row>
    <row r="46" spans="4:4" x14ac:dyDescent="0.25">
      <c r="D46" s="32" t="s">
        <v>152</v>
      </c>
    </row>
    <row r="47" spans="4:4" x14ac:dyDescent="0.25">
      <c r="D47" s="32" t="s">
        <v>153</v>
      </c>
    </row>
    <row r="48" spans="4:4" x14ac:dyDescent="0.25">
      <c r="D48" s="32" t="s">
        <v>129</v>
      </c>
    </row>
    <row r="49" spans="4:4" x14ac:dyDescent="0.25">
      <c r="D49" s="32" t="s">
        <v>133</v>
      </c>
    </row>
    <row r="50" spans="4:4" x14ac:dyDescent="0.25">
      <c r="D50" s="32" t="s">
        <v>154</v>
      </c>
    </row>
    <row r="51" spans="4:4" x14ac:dyDescent="0.25">
      <c r="D51" s="32" t="s">
        <v>112</v>
      </c>
    </row>
    <row r="52" spans="4:4" x14ac:dyDescent="0.25">
      <c r="D52" s="32" t="s">
        <v>113</v>
      </c>
    </row>
    <row r="53" spans="4:4" x14ac:dyDescent="0.25">
      <c r="D53" s="32" t="s">
        <v>114</v>
      </c>
    </row>
    <row r="54" spans="4:4" x14ac:dyDescent="0.25">
      <c r="D54" s="32" t="s">
        <v>115</v>
      </c>
    </row>
    <row r="55" spans="4:4" x14ac:dyDescent="0.25">
      <c r="D55" s="32" t="s">
        <v>116</v>
      </c>
    </row>
    <row r="56" spans="4:4" x14ac:dyDescent="0.25">
      <c r="D56" s="32" t="s">
        <v>117</v>
      </c>
    </row>
    <row r="57" spans="4:4" x14ac:dyDescent="0.25">
      <c r="D57" s="32" t="s">
        <v>118</v>
      </c>
    </row>
    <row r="58" spans="4:4" x14ac:dyDescent="0.25">
      <c r="D58" s="32" t="s">
        <v>119</v>
      </c>
    </row>
    <row r="59" spans="4:4" x14ac:dyDescent="0.25">
      <c r="D59" s="32" t="s">
        <v>155</v>
      </c>
    </row>
    <row r="60" spans="4:4" x14ac:dyDescent="0.25">
      <c r="D60" s="32" t="s">
        <v>156</v>
      </c>
    </row>
    <row r="61" spans="4:4" x14ac:dyDescent="0.25">
      <c r="D61" s="32" t="s">
        <v>130</v>
      </c>
    </row>
    <row r="62" spans="4:4" x14ac:dyDescent="0.25">
      <c r="D62" s="32" t="s">
        <v>157</v>
      </c>
    </row>
    <row r="63" spans="4:4" x14ac:dyDescent="0.25">
      <c r="D63" s="32" t="s">
        <v>158</v>
      </c>
    </row>
    <row r="64" spans="4:4" x14ac:dyDescent="0.25">
      <c r="D64" s="32" t="s">
        <v>134</v>
      </c>
    </row>
    <row r="65" spans="4:4" x14ac:dyDescent="0.25">
      <c r="D65" s="32" t="s">
        <v>159</v>
      </c>
    </row>
  </sheetData>
  <sheetProtection selectLockedCells="1" selectUnlockedCells="1"/>
  <sortState ref="S2:S10">
    <sortCondition ref="S10"/>
  </sortState>
  <mergeCells count="1">
    <mergeCell ref="Z1:AC1"/>
  </mergeCells>
  <dataValidations xWindow="344" yWindow="401" count="25">
    <dataValidation allowBlank="1" showInputMessage="1" showErrorMessage="1" promptTitle="Question 2" prompt="Separation Year" sqref="A4:A9 A22:A1048576"/>
    <dataValidation allowBlank="1" showInputMessage="1" showErrorMessage="1" promptTitle="Question 10" prompt="Gender" sqref="J1"/>
    <dataValidation allowBlank="1" showInputMessage="1" showErrorMessage="1" promptTitle="Question 4" prompt="Pay Plan" sqref="B1"/>
    <dataValidation allowBlank="1" showInputMessage="1" showErrorMessage="1" promptTitle="Question 4a" prompt="Career Path" sqref="C1"/>
    <dataValidation allowBlank="1" showInputMessage="1" showErrorMessage="1" promptTitle="Question 4b" prompt="Job Series" sqref="D1"/>
    <dataValidation allowBlank="1" showInputMessage="1" showErrorMessage="1" promptTitle="Question 5" prompt="Pay Grade" sqref="E1"/>
    <dataValidation allowBlank="1" showInputMessage="1" showErrorMessage="1" promptTitle="Question 6 " prompt="UIC" sqref="F1"/>
    <dataValidation allowBlank="1" showInputMessage="1" showErrorMessage="1" promptTitle="Question 7" prompt="To which BL/SL are you assigned?" sqref="G1:H1"/>
    <dataValidation allowBlank="1" showInputMessage="1" showErrorMessage="1" promptTitle="Question 8" prompt="Total federal service length (includes previous federal service and federal service with EXWC):" sqref="I1"/>
    <dataValidation allowBlank="1" showInputMessage="1" showErrorMessage="1" promptTitle="Question 11" prompt="Race" sqref="K1"/>
    <dataValidation allowBlank="1" showInputMessage="1" showErrorMessage="1" promptTitle="Question 13a" prompt="[if yes] What is the DAWIA acquisition category of your current position?" sqref="L1"/>
    <dataValidation allowBlank="1" showInputMessage="1" showErrorMessage="1" promptTitle="Question 13a." prompt="What is the DAWIA acquisition category of your current position?" sqref="N1"/>
    <dataValidation allowBlank="1" showInputMessage="1" showErrorMessage="1" promptTitle="Question 16" prompt="Using the following, please rank three of the factors as most important in your decision to leave your current position (if any). " sqref="O1"/>
    <dataValidation allowBlank="1" showInputMessage="1" showErrorMessage="1" promptTitle="Question 17,19,30,31,32,33, 35" prompt="All the Questions that include Yes or No options." sqref="P1"/>
    <dataValidation allowBlank="1" showInputMessage="1" showErrorMessage="1" promptTitle="Question 17a" prompt="What Intern/Development Program were you apart of?" sqref="Q1"/>
    <dataValidation allowBlank="1" showInputMessage="1" showErrorMessage="1" promptTitle="Question 18" prompt="Using the following, please rank three of the factors as most important that attacted you to your new job (if any)." sqref="R1"/>
    <dataValidation allowBlank="1" showInputMessage="1" showErrorMessage="1" promptTitle="Question 19" prompt="How will your new job differ from your current job? (select up to three that apply)" sqref="S1"/>
    <dataValidation allowBlank="1" showInputMessage="1" showErrorMessage="1" promptTitle="Question 20" prompt="Using the following, please rank three of the most important factors that EXWC could have done to prevent you from leaving (if any). " sqref="T1"/>
    <dataValidation allowBlank="1" showInputMessage="1" showErrorMessage="1" promptTitle="Question 21" prompt="Using the following, please rank three of the most important factors that you liked best about working at EXWC (if any)." sqref="U1"/>
    <dataValidation allowBlank="1" showInputMessage="1" showErrorMessage="1" promptTitle="Questions 22,23,24,25" prompt="All the questions that included never, almost never, somtimes, almost always, and always answers" sqref="V1"/>
    <dataValidation allowBlank="1" showInputMessage="1" showErrorMessage="1" promptTitle="Question 26" prompt="Using the following, please rank three key things you would change if you were Commander for a day (if any)." sqref="W1"/>
    <dataValidation allowBlank="1" showInputMessage="1" showErrorMessage="1" promptTitle="Question 32a." prompt="[if yes] What is one thing that makes EXWC unique? " sqref="X1"/>
    <dataValidation allowBlank="1" showInputMessage="1" showErrorMessage="1" promptTitle="Question 34" prompt="If No to Question 34, Why?" sqref="Y1"/>
    <dataValidation allowBlank="1" showInputMessage="1" showErrorMessage="1" promptTitle="Month, Year, Quarter Calculation" prompt="These four columns are used to calculate the different months, years, and quartesr for the completion date, exwc start date, and the exwc separation date. " sqref="Z1:AC1"/>
    <dataValidation allowBlank="1" showInputMessage="1" showErrorMessage="1" promptTitle="Question 15" prompt="Where is your next job? " sqref="M1:M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Introduction</vt:lpstr>
      <vt:lpstr>Employee Survey</vt:lpstr>
      <vt:lpstr>Data</vt:lpstr>
      <vt:lpstr>Data validation values 1</vt:lpstr>
      <vt:lpstr>Data validation values 2</vt:lpstr>
      <vt:lpstr>Introduction!Factors</vt:lpstr>
      <vt:lpstr>Factors</vt:lpstr>
      <vt:lpstr>'Employee Survey'!Print_Area</vt:lpstr>
      <vt:lpstr>Introduction!Print_Area</vt:lpstr>
      <vt:lpstr>Introduction!Select</vt:lpstr>
      <vt:lpstr>Select</vt:lpstr>
    </vt:vector>
  </TitlesOfParts>
  <Company>HPES NMCI NGEN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Ramirez, Kolby G CIV NAVFAC, EXWC BD51</dc:creator>
  <cp:lastModifiedBy>Ramirez, Kolby G CIV NAVFAC, EXWC BD51</cp:lastModifiedBy>
  <cp:lastPrinted>2019-08-20T19:21:18Z</cp:lastPrinted>
  <dcterms:created xsi:type="dcterms:W3CDTF">2019-07-30T20:51:50Z</dcterms:created>
  <dcterms:modified xsi:type="dcterms:W3CDTF">2019-08-21T20:51:43Z</dcterms:modified>
</cp:coreProperties>
</file>